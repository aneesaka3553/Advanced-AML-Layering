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Client Master Data" sheetId="1" r:id="rId1"/>
    <sheet name="Transaction Data" sheetId="2" r:id="rId2"/>
    <sheet name="KYC Track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<sst xmlns="http://schemas.openxmlformats.org/spreadsheetml/2006/main" count="8976" uniqueCount="1778">
  <si>
    <t>Client ID</t>
  </si>
  <si>
    <t>Name</t>
  </si>
  <si>
    <t>Country</t>
  </si>
  <si>
    <t>Risk Country</t>
  </si>
  <si>
    <t>Occupation</t>
  </si>
  <si>
    <t>Annual Income</t>
  </si>
  <si>
    <t>PEP (Yes/No)</t>
  </si>
  <si>
    <t>Account Type</t>
  </si>
  <si>
    <t>Customer Risk Score</t>
  </si>
  <si>
    <t>Geographic Risk Score</t>
  </si>
  <si>
    <t>Client_1</t>
  </si>
  <si>
    <t>UK</t>
  </si>
  <si>
    <t>Low</t>
  </si>
  <si>
    <t>Trader</t>
  </si>
  <si>
    <t>No</t>
  </si>
  <si>
    <t>Current</t>
  </si>
  <si>
    <t>Client_2</t>
  </si>
  <si>
    <t>Nigeria</t>
  </si>
  <si>
    <t>High</t>
  </si>
  <si>
    <t>Consultant</t>
  </si>
  <si>
    <t>Yes</t>
  </si>
  <si>
    <t>Savings</t>
  </si>
  <si>
    <t>Client_3</t>
  </si>
  <si>
    <t>USA</t>
  </si>
  <si>
    <t>Medium</t>
  </si>
  <si>
    <t>Doctor</t>
  </si>
  <si>
    <t>Client_4</t>
  </si>
  <si>
    <t>India</t>
  </si>
  <si>
    <t>Client_5</t>
  </si>
  <si>
    <t>Client_6</t>
  </si>
  <si>
    <t>Engineer</t>
  </si>
  <si>
    <t>Client_7</t>
  </si>
  <si>
    <t>Client_8</t>
  </si>
  <si>
    <t>Client_9</t>
  </si>
  <si>
    <t>Business</t>
  </si>
  <si>
    <t>Client_10</t>
  </si>
  <si>
    <t>Client_11</t>
  </si>
  <si>
    <t>Client_12</t>
  </si>
  <si>
    <t>Client_13</t>
  </si>
  <si>
    <t>Singapore</t>
  </si>
  <si>
    <t>Client_14</t>
  </si>
  <si>
    <t>Client_15</t>
  </si>
  <si>
    <t>Client_16</t>
  </si>
  <si>
    <t>Client_17</t>
  </si>
  <si>
    <t>Client_18</t>
  </si>
  <si>
    <t>Client_19</t>
  </si>
  <si>
    <t>Client_20</t>
  </si>
  <si>
    <t>Client_21</t>
  </si>
  <si>
    <t>Client_22</t>
  </si>
  <si>
    <t>Client_23</t>
  </si>
  <si>
    <t>Client_24</t>
  </si>
  <si>
    <t>Client_25</t>
  </si>
  <si>
    <t>Client_26</t>
  </si>
  <si>
    <t>Client_27</t>
  </si>
  <si>
    <t>UAE</t>
  </si>
  <si>
    <t>Client_28</t>
  </si>
  <si>
    <t>Client_29</t>
  </si>
  <si>
    <t>Client_30</t>
  </si>
  <si>
    <t>Client_31</t>
  </si>
  <si>
    <t>Client_32</t>
  </si>
  <si>
    <t>Client_33</t>
  </si>
  <si>
    <t>Client_34</t>
  </si>
  <si>
    <t>Client_35</t>
  </si>
  <si>
    <t>Client_36</t>
  </si>
  <si>
    <t>Client_37</t>
  </si>
  <si>
    <t>Client_38</t>
  </si>
  <si>
    <t>Client_39</t>
  </si>
  <si>
    <t>Client_40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</si>
  <si>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</si>
  <si>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</si>
  <si>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</si>
  <si>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</si>
  <si>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</si>
  <si>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</si>
  <si>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</si>
  <si>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</si>
  <si>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</si>
  <si>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</si>
  <si>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Client_51</t>
  </si>
  <si>
    <t>Client_52</t>
  </si>
  <si>
    <t>Client_53</t>
  </si>
  <si>
    <t>Client_54</t>
  </si>
  <si>
    <t>Client_55</t>
  </si>
  <si>
    <t>Client_56</t>
  </si>
  <si>
    <t>Client_57</t>
  </si>
  <si>
    <t>Client_58</t>
  </si>
  <si>
    <t>Client_59</t>
  </si>
  <si>
    <t>Client_60</t>
  </si>
  <si>
    <t>Client_61</t>
  </si>
  <si>
    <t>Client_62</t>
  </si>
  <si>
    <t>Client_63</t>
  </si>
  <si>
    <t>Client_64</t>
  </si>
  <si>
    <t>Client_65</t>
  </si>
  <si>
    <t>Client_66</t>
  </si>
  <si>
    <t>Client_67</t>
  </si>
  <si>
    <t>Client_68</t>
  </si>
  <si>
    <t>Client_69</t>
  </si>
  <si>
    <t>Client_70</t>
  </si>
  <si>
    <t>Client_71</t>
  </si>
  <si>
    <t>Client_72</t>
  </si>
  <si>
    <t>Client_73</t>
  </si>
  <si>
    <t>Client_74</t>
  </si>
  <si>
    <t>Client_75</t>
  </si>
  <si>
    <t>Client_76</t>
  </si>
  <si>
    <t>Client_77</t>
  </si>
  <si>
    <t>Client_78</t>
  </si>
  <si>
    <t>Client_79</t>
  </si>
  <si>
    <t>Client_80</t>
  </si>
  <si>
    <t>Client_81</t>
  </si>
  <si>
    <t>Client_82</t>
  </si>
  <si>
    <t>Client_83</t>
  </si>
  <si>
    <t>Client_84</t>
  </si>
  <si>
    <t>Client_85</t>
  </si>
  <si>
    <t>Client_86</t>
  </si>
  <si>
    <t>Client_87</t>
  </si>
  <si>
    <t>Client_88</t>
  </si>
  <si>
    <t>Client_89</t>
  </si>
  <si>
    <t>Client_90</t>
  </si>
  <si>
    <t>Client_91</t>
  </si>
  <si>
    <t>Client_92</t>
  </si>
  <si>
    <t>Client_93</t>
  </si>
  <si>
    <t>Client_94</t>
  </si>
  <si>
    <t>Client_95</t>
  </si>
  <si>
    <t>Client_96</t>
  </si>
  <si>
    <t>Client_97</t>
  </si>
  <si>
    <t>Client_98</t>
  </si>
  <si>
    <t>Client_99</t>
  </si>
  <si>
    <t>Client_100</t>
  </si>
  <si>
    <t>Client_101</t>
  </si>
  <si>
    <t>Client_102</t>
  </si>
  <si>
    <t>Client_103</t>
  </si>
  <si>
    <t>Client_104</t>
  </si>
  <si>
    <t>Client_105</t>
  </si>
  <si>
    <t>Client_106</t>
  </si>
  <si>
    <t>Client_107</t>
  </si>
  <si>
    <t>Client_108</t>
  </si>
  <si>
    <t>Client_109</t>
  </si>
  <si>
    <t>Client_110</t>
  </si>
  <si>
    <t>Client_111</t>
  </si>
  <si>
    <t>Client_112</t>
  </si>
  <si>
    <t>Client_113</t>
  </si>
  <si>
    <t>Client_114</t>
  </si>
  <si>
    <t>Client_115</t>
  </si>
  <si>
    <t>Client_116</t>
  </si>
  <si>
    <t>Client_117</t>
  </si>
  <si>
    <t>Client_118</t>
  </si>
  <si>
    <t>Client_119</t>
  </si>
  <si>
    <t>Client_120</t>
  </si>
  <si>
    <t>Client_121</t>
  </si>
  <si>
    <t>Client_122</t>
  </si>
  <si>
    <t>Client_123</t>
  </si>
  <si>
    <t>Client_124</t>
  </si>
  <si>
    <t>Client_125</t>
  </si>
  <si>
    <t>Client_126</t>
  </si>
  <si>
    <t>Client_127</t>
  </si>
  <si>
    <t>Client_128</t>
  </si>
  <si>
    <t>Client_129</t>
  </si>
  <si>
    <t>Client_130</t>
  </si>
  <si>
    <t>Client_131</t>
  </si>
  <si>
    <t>Client_132</t>
  </si>
  <si>
    <t>Client_133</t>
  </si>
  <si>
    <t>Client_134</t>
  </si>
  <si>
    <t>Client_135</t>
  </si>
  <si>
    <t>Client_136</t>
  </si>
  <si>
    <t>Client_137</t>
  </si>
  <si>
    <t>Client_138</t>
  </si>
  <si>
    <t>Client_139</t>
  </si>
  <si>
    <t>Client_140</t>
  </si>
  <si>
    <t>Client_141</t>
  </si>
  <si>
    <t>Client_142</t>
  </si>
  <si>
    <t>Client_143</t>
  </si>
  <si>
    <t>Client_144</t>
  </si>
  <si>
    <t>Client_145</t>
  </si>
  <si>
    <t>Client_146</t>
  </si>
  <si>
    <t>Client_147</t>
  </si>
  <si>
    <t>Client_148</t>
  </si>
  <si>
    <t>Client_149</t>
  </si>
  <si>
    <t>Client_150</t>
  </si>
  <si>
    <t>Client_151</t>
  </si>
  <si>
    <t>Client_152</t>
  </si>
  <si>
    <t>Client_153</t>
  </si>
  <si>
    <t>Client_154</t>
  </si>
  <si>
    <t>Client_155</t>
  </si>
  <si>
    <t>Client_156</t>
  </si>
  <si>
    <t>Client_157</t>
  </si>
  <si>
    <t>Client_158</t>
  </si>
  <si>
    <t>Client_159</t>
  </si>
  <si>
    <t>Client_160</t>
  </si>
  <si>
    <t>Client_161</t>
  </si>
  <si>
    <t>Client_162</t>
  </si>
  <si>
    <t>Client_163</t>
  </si>
  <si>
    <t>Client_164</t>
  </si>
  <si>
    <t>Client_165</t>
  </si>
  <si>
    <t>Client_166</t>
  </si>
  <si>
    <t>Client_167</t>
  </si>
  <si>
    <t>Client_168</t>
  </si>
  <si>
    <t>Client_169</t>
  </si>
  <si>
    <t>Client_170</t>
  </si>
  <si>
    <t>Client_171</t>
  </si>
  <si>
    <t>Client_172</t>
  </si>
  <si>
    <t>Client_173</t>
  </si>
  <si>
    <t>Client_174</t>
  </si>
  <si>
    <t>Client_175</t>
  </si>
  <si>
    <t>Client_176</t>
  </si>
  <si>
    <t>Client_177</t>
  </si>
  <si>
    <t>Client_178</t>
  </si>
  <si>
    <t>Client_179</t>
  </si>
  <si>
    <t>Client_180</t>
  </si>
  <si>
    <t>Client_181</t>
  </si>
  <si>
    <t>Client_182</t>
  </si>
  <si>
    <t>Client_183</t>
  </si>
  <si>
    <t>Client_184</t>
  </si>
  <si>
    <t>Client_185</t>
  </si>
  <si>
    <t>Client_186</t>
  </si>
  <si>
    <t>Client_187</t>
  </si>
  <si>
    <t>Client_188</t>
  </si>
  <si>
    <t>Client_189</t>
  </si>
  <si>
    <t>Client_190</t>
  </si>
  <si>
    <t>Client_191</t>
  </si>
  <si>
    <t>Client_192</t>
  </si>
  <si>
    <t>Client_193</t>
  </si>
  <si>
    <t>Client_194</t>
  </si>
  <si>
    <t>Client_195</t>
  </si>
  <si>
    <t>Client_196</t>
  </si>
  <si>
    <t>Client_197</t>
  </si>
  <si>
    <t>Client_198</t>
  </si>
  <si>
    <t>Client_199</t>
  </si>
  <si>
    <t>Client_200</t>
  </si>
  <si>
    <t>Client_201</t>
  </si>
  <si>
    <t>Client_202</t>
  </si>
  <si>
    <t>Client_203</t>
  </si>
  <si>
    <t>Client_204</t>
  </si>
  <si>
    <t>Client_205</t>
  </si>
  <si>
    <t>Client_206</t>
  </si>
  <si>
    <t>Client_207</t>
  </si>
  <si>
    <t>Client_208</t>
  </si>
  <si>
    <t>Client_209</t>
  </si>
  <si>
    <t>Client_210</t>
  </si>
  <si>
    <t>Client_211</t>
  </si>
  <si>
    <t>Client_212</t>
  </si>
  <si>
    <t>Client_213</t>
  </si>
  <si>
    <t>Client_214</t>
  </si>
  <si>
    <t>Client_215</t>
  </si>
  <si>
    <t>Client_216</t>
  </si>
  <si>
    <t>Client_217</t>
  </si>
  <si>
    <t>Client_218</t>
  </si>
  <si>
    <t>Client_219</t>
  </si>
  <si>
    <t>Client_220</t>
  </si>
  <si>
    <t>Client_221</t>
  </si>
  <si>
    <t>Client_222</t>
  </si>
  <si>
    <t>Client_223</t>
  </si>
  <si>
    <t>Client_224</t>
  </si>
  <si>
    <t>Client_225</t>
  </si>
  <si>
    <t>Client_226</t>
  </si>
  <si>
    <t>Client_227</t>
  </si>
  <si>
    <t>Client_228</t>
  </si>
  <si>
    <t>Client_229</t>
  </si>
  <si>
    <t>Client_230</t>
  </si>
  <si>
    <t>Client_231</t>
  </si>
  <si>
    <t>Client_232</t>
  </si>
  <si>
    <t>Client_233</t>
  </si>
  <si>
    <t>Client_234</t>
  </si>
  <si>
    <t>Client_235</t>
  </si>
  <si>
    <t>Client_236</t>
  </si>
  <si>
    <t>Client_237</t>
  </si>
  <si>
    <t>Client_238</t>
  </si>
  <si>
    <t>Client_239</t>
  </si>
  <si>
    <t>Client_240</t>
  </si>
  <si>
    <t>Client_241</t>
  </si>
  <si>
    <t>Client_242</t>
  </si>
  <si>
    <t>Client_243</t>
  </si>
  <si>
    <t>Client_244</t>
  </si>
  <si>
    <t>Client_245</t>
  </si>
  <si>
    <t>Client_246</t>
  </si>
  <si>
    <t>Client_247</t>
  </si>
  <si>
    <t>Client_248</t>
  </si>
  <si>
    <t>Client_249</t>
  </si>
  <si>
    <t>Client_250</t>
  </si>
  <si>
    <t>Client_251</t>
  </si>
  <si>
    <t>Client_252</t>
  </si>
  <si>
    <t>Client_253</t>
  </si>
  <si>
    <t>Client_254</t>
  </si>
  <si>
    <t>Client_255</t>
  </si>
  <si>
    <t>Client_256</t>
  </si>
  <si>
    <t>Client_257</t>
  </si>
  <si>
    <t>Client_258</t>
  </si>
  <si>
    <t>Client_259</t>
  </si>
  <si>
    <t>Client_260</t>
  </si>
  <si>
    <t>Client_261</t>
  </si>
  <si>
    <t>Client_262</t>
  </si>
  <si>
    <t>Client_263</t>
  </si>
  <si>
    <t>Client_264</t>
  </si>
  <si>
    <t>Client_265</t>
  </si>
  <si>
    <t>Client_266</t>
  </si>
  <si>
    <t>Client_267</t>
  </si>
  <si>
    <t>Client_268</t>
  </si>
  <si>
    <t>Client_269</t>
  </si>
  <si>
    <t>Client_270</t>
  </si>
  <si>
    <t>Client_271</t>
  </si>
  <si>
    <t>Client_272</t>
  </si>
  <si>
    <t>Client_273</t>
  </si>
  <si>
    <t>Client_274</t>
  </si>
  <si>
    <t>Client_275</t>
  </si>
  <si>
    <t>Client_276</t>
  </si>
  <si>
    <t>Client_277</t>
  </si>
  <si>
    <t>Client_278</t>
  </si>
  <si>
    <t>Client_279</t>
  </si>
  <si>
    <t>Client_280</t>
  </si>
  <si>
    <t>Client_281</t>
  </si>
  <si>
    <t>Client_282</t>
  </si>
  <si>
    <t>Client_283</t>
  </si>
  <si>
    <t>Client_284</t>
  </si>
  <si>
    <t>Client_285</t>
  </si>
  <si>
    <t>Client_286</t>
  </si>
  <si>
    <t>Client_287</t>
  </si>
  <si>
    <t>Client_288</t>
  </si>
  <si>
    <t>Client_289</t>
  </si>
  <si>
    <t>Client_290</t>
  </si>
  <si>
    <t>Client_291</t>
  </si>
  <si>
    <t>Client_292</t>
  </si>
  <si>
    <t>Client_293</t>
  </si>
  <si>
    <t>Client_294</t>
  </si>
  <si>
    <t>Client_295</t>
  </si>
  <si>
    <t>Client_296</t>
  </si>
  <si>
    <t>Client_297</t>
  </si>
  <si>
    <t>Client_298</t>
  </si>
  <si>
    <t>Client_299</t>
  </si>
  <si>
    <t>Client_300</t>
  </si>
  <si>
    <t>Client_301</t>
  </si>
  <si>
    <t>Client_302</t>
  </si>
  <si>
    <t>Client_303</t>
  </si>
  <si>
    <t>Client_304</t>
  </si>
  <si>
    <t>Client_305</t>
  </si>
  <si>
    <t>Client_306</t>
  </si>
  <si>
    <t>Client_307</t>
  </si>
  <si>
    <t>Client_308</t>
  </si>
  <si>
    <t>Client_309</t>
  </si>
  <si>
    <t>Client_310</t>
  </si>
  <si>
    <t>Client_311</t>
  </si>
  <si>
    <t>Client_312</t>
  </si>
  <si>
    <t>Client_313</t>
  </si>
  <si>
    <t>Client_314</t>
  </si>
  <si>
    <t>Client_315</t>
  </si>
  <si>
    <t>Client_316</t>
  </si>
  <si>
    <t>Client_317</t>
  </si>
  <si>
    <t>Client_318</t>
  </si>
  <si>
    <t>Client_319</t>
  </si>
  <si>
    <t>Client_320</t>
  </si>
  <si>
    <t>Client_321</t>
  </si>
  <si>
    <t>Client_322</t>
  </si>
  <si>
    <t>Client_323</t>
  </si>
  <si>
    <t>Client_324</t>
  </si>
  <si>
    <t>Client_325</t>
  </si>
  <si>
    <t>Client_326</t>
  </si>
  <si>
    <t>Client_327</t>
  </si>
  <si>
    <t>Client_328</t>
  </si>
  <si>
    <t>Client_329</t>
  </si>
  <si>
    <t>Client_330</t>
  </si>
  <si>
    <t>Client_331</t>
  </si>
  <si>
    <t>Client_332</t>
  </si>
  <si>
    <t>Client_333</t>
  </si>
  <si>
    <t>Client_334</t>
  </si>
  <si>
    <t>Client_335</t>
  </si>
  <si>
    <t>Client_336</t>
  </si>
  <si>
    <t>Client_337</t>
  </si>
  <si>
    <t>Client_338</t>
  </si>
  <si>
    <t>Client_339</t>
  </si>
  <si>
    <t>Client_340</t>
  </si>
  <si>
    <t>Client_341</t>
  </si>
  <si>
    <t>Client_342</t>
  </si>
  <si>
    <t>Client_343</t>
  </si>
  <si>
    <t>Client_344</t>
  </si>
  <si>
    <t>Client_345</t>
  </si>
  <si>
    <t>Client_346</t>
  </si>
  <si>
    <t>Client_347</t>
  </si>
  <si>
    <t>Client_348</t>
  </si>
  <si>
    <t>Client_349</t>
  </si>
  <si>
    <t>Client_350</t>
  </si>
  <si>
    <t>Client_351</t>
  </si>
  <si>
    <t>Client_352</t>
  </si>
  <si>
    <t>Client_353</t>
  </si>
  <si>
    <t>Client_354</t>
  </si>
  <si>
    <t>Client_355</t>
  </si>
  <si>
    <t>Client_356</t>
  </si>
  <si>
    <t>Client_357</t>
  </si>
  <si>
    <t>Client_358</t>
  </si>
  <si>
    <t>Client_359</t>
  </si>
  <si>
    <t>Client_360</t>
  </si>
  <si>
    <t>Client_361</t>
  </si>
  <si>
    <t>Client_362</t>
  </si>
  <si>
    <t>Client_363</t>
  </si>
  <si>
    <t>Client_364</t>
  </si>
  <si>
    <t>Client_365</t>
  </si>
  <si>
    <t>Client_366</t>
  </si>
  <si>
    <t>Client_367</t>
  </si>
  <si>
    <t>Client_368</t>
  </si>
  <si>
    <t>Client_369</t>
  </si>
  <si>
    <t>Client_370</t>
  </si>
  <si>
    <t>Client_371</t>
  </si>
  <si>
    <t>Client_372</t>
  </si>
  <si>
    <t>Client_373</t>
  </si>
  <si>
    <t>Client_374</t>
  </si>
  <si>
    <t>Client_375</t>
  </si>
  <si>
    <t>Client_376</t>
  </si>
  <si>
    <t>Client_377</t>
  </si>
  <si>
    <t>Client_378</t>
  </si>
  <si>
    <t>Client_379</t>
  </si>
  <si>
    <t>Client_380</t>
  </si>
  <si>
    <t>Client_381</t>
  </si>
  <si>
    <t>Client_382</t>
  </si>
  <si>
    <t>Client_383</t>
  </si>
  <si>
    <t>Client_384</t>
  </si>
  <si>
    <t>Client_385</t>
  </si>
  <si>
    <t>Client_386</t>
  </si>
  <si>
    <t>Client_387</t>
  </si>
  <si>
    <t>Client_388</t>
  </si>
  <si>
    <t>Client_389</t>
  </si>
  <si>
    <t>Client_390</t>
  </si>
  <si>
    <t>Client_391</t>
  </si>
  <si>
    <t>Client_392</t>
  </si>
  <si>
    <t>Client_393</t>
  </si>
  <si>
    <t>Client_394</t>
  </si>
  <si>
    <t>Client_395</t>
  </si>
  <si>
    <t>Client_396</t>
  </si>
  <si>
    <t>Client_397</t>
  </si>
  <si>
    <t>Client_398</t>
  </si>
  <si>
    <t>Client_399</t>
  </si>
  <si>
    <t>Client_400</t>
  </si>
  <si>
    <t>Client_401</t>
  </si>
  <si>
    <t>Client_402</t>
  </si>
  <si>
    <t>Client_403</t>
  </si>
  <si>
    <t>Client_404</t>
  </si>
  <si>
    <t>Client_405</t>
  </si>
  <si>
    <t>Client_406</t>
  </si>
  <si>
    <t>Client_407</t>
  </si>
  <si>
    <t>Client_408</t>
  </si>
  <si>
    <t>Client_409</t>
  </si>
  <si>
    <t>Client_410</t>
  </si>
  <si>
    <t>Client_411</t>
  </si>
  <si>
    <t>Client_412</t>
  </si>
  <si>
    <t>Client_413</t>
  </si>
  <si>
    <t>Client_414</t>
  </si>
  <si>
    <t>Client_415</t>
  </si>
  <si>
    <t>Client_416</t>
  </si>
  <si>
    <t>Client_417</t>
  </si>
  <si>
    <t>Client_418</t>
  </si>
  <si>
    <t>Client_419</t>
  </si>
  <si>
    <t>Client_420</t>
  </si>
  <si>
    <t>Client_421</t>
  </si>
  <si>
    <t>Client_422</t>
  </si>
  <si>
    <t>Client_423</t>
  </si>
  <si>
    <t>Client_424</t>
  </si>
  <si>
    <t>Client_425</t>
  </si>
  <si>
    <t>Client_426</t>
  </si>
  <si>
    <t>Client_427</t>
  </si>
  <si>
    <t>Client_428</t>
  </si>
  <si>
    <t>Client_429</t>
  </si>
  <si>
    <t>Client_430</t>
  </si>
  <si>
    <t>Client_431</t>
  </si>
  <si>
    <t>Client_432</t>
  </si>
  <si>
    <t>Client_433</t>
  </si>
  <si>
    <t>Client_434</t>
  </si>
  <si>
    <t>Client_435</t>
  </si>
  <si>
    <t>Client_436</t>
  </si>
  <si>
    <t>Client_437</t>
  </si>
  <si>
    <t>Client_438</t>
  </si>
  <si>
    <t>Client_439</t>
  </si>
  <si>
    <t>Client_440</t>
  </si>
  <si>
    <t>Client_441</t>
  </si>
  <si>
    <t>Client_442</t>
  </si>
  <si>
    <t>Client_443</t>
  </si>
  <si>
    <t>Client_444</t>
  </si>
  <si>
    <t>Client_445</t>
  </si>
  <si>
    <t>Client_446</t>
  </si>
  <si>
    <t>Client_447</t>
  </si>
  <si>
    <t>Client_448</t>
  </si>
  <si>
    <t>Client_449</t>
  </si>
  <si>
    <t>Client_450</t>
  </si>
  <si>
    <t>Client_451</t>
  </si>
  <si>
    <t>Client_452</t>
  </si>
  <si>
    <t>Client_453</t>
  </si>
  <si>
    <t>Client_454</t>
  </si>
  <si>
    <t>Client_455</t>
  </si>
  <si>
    <t>Client_456</t>
  </si>
  <si>
    <t>Client_457</t>
  </si>
  <si>
    <t>Client_458</t>
  </si>
  <si>
    <t>Client_459</t>
  </si>
  <si>
    <t>Client_460</t>
  </si>
  <si>
    <t>Client_461</t>
  </si>
  <si>
    <t>Client_462</t>
  </si>
  <si>
    <t>Client_463</t>
  </si>
  <si>
    <t>Client_464</t>
  </si>
  <si>
    <t>Client_465</t>
  </si>
  <si>
    <t>Client_466</t>
  </si>
  <si>
    <t>Client_467</t>
  </si>
  <si>
    <t>Client_468</t>
  </si>
  <si>
    <t>Client_469</t>
  </si>
  <si>
    <t>Client_470</t>
  </si>
  <si>
    <t>Client_471</t>
  </si>
  <si>
    <t>Client_472</t>
  </si>
  <si>
    <t>Client_473</t>
  </si>
  <si>
    <t>Client_474</t>
  </si>
  <si>
    <t>Client_475</t>
  </si>
  <si>
    <t>Client_476</t>
  </si>
  <si>
    <t>Client_477</t>
  </si>
  <si>
    <t>Client_478</t>
  </si>
  <si>
    <t>Client_479</t>
  </si>
  <si>
    <t>Client_480</t>
  </si>
  <si>
    <t>Client_481</t>
  </si>
  <si>
    <t>Client_482</t>
  </si>
  <si>
    <t>Client_483</t>
  </si>
  <si>
    <t>Client_484</t>
  </si>
  <si>
    <t>Client_485</t>
  </si>
  <si>
    <t>Client_486</t>
  </si>
  <si>
    <t>Client_487</t>
  </si>
  <si>
    <t>Client_488</t>
  </si>
  <si>
    <t>Client_489</t>
  </si>
  <si>
    <t>Client_490</t>
  </si>
  <si>
    <t>Client_491</t>
  </si>
  <si>
    <t>Client_492</t>
  </si>
  <si>
    <t>Client_493</t>
  </si>
  <si>
    <t>Client_494</t>
  </si>
  <si>
    <t>Client_495</t>
  </si>
  <si>
    <t>Client_496</t>
  </si>
  <si>
    <t>Client_497</t>
  </si>
  <si>
    <t>Client_498</t>
  </si>
  <si>
    <t>Client_499</t>
  </si>
  <si>
    <t>Client_500</t>
  </si>
  <si>
    <t>Client_501</t>
  </si>
  <si>
    <t>Client_502</t>
  </si>
  <si>
    <t>Client_503</t>
  </si>
  <si>
    <t>Client_504</t>
  </si>
  <si>
    <t>Client_505</t>
  </si>
  <si>
    <t>Client_506</t>
  </si>
  <si>
    <t>Client_507</t>
  </si>
  <si>
    <t>Client_508</t>
  </si>
  <si>
    <t>Client_509</t>
  </si>
  <si>
    <t>Client_510</t>
  </si>
  <si>
    <t>Client_511</t>
  </si>
  <si>
    <t>Client_512</t>
  </si>
  <si>
    <t>Client_513</t>
  </si>
  <si>
    <t>Client_514</t>
  </si>
  <si>
    <t>Client_515</t>
  </si>
  <si>
    <t>Client_516</t>
  </si>
  <si>
    <t>Client_517</t>
  </si>
  <si>
    <t>Client_518</t>
  </si>
  <si>
    <t>Client_519</t>
  </si>
  <si>
    <t>Client_520</t>
  </si>
  <si>
    <t>Client_521</t>
  </si>
  <si>
    <t>Client_522</t>
  </si>
  <si>
    <t>Client_523</t>
  </si>
  <si>
    <t>Client_524</t>
  </si>
  <si>
    <t>Client_525</t>
  </si>
  <si>
    <t>Client_526</t>
  </si>
  <si>
    <t>Client_527</t>
  </si>
  <si>
    <t>Client_528</t>
  </si>
  <si>
    <t>Client_529</t>
  </si>
  <si>
    <t>Client_530</t>
  </si>
  <si>
    <t>Client_531</t>
  </si>
  <si>
    <t>Client_532</t>
  </si>
  <si>
    <t>Client_533</t>
  </si>
  <si>
    <t>Client_534</t>
  </si>
  <si>
    <t>Client_535</t>
  </si>
  <si>
    <t>Client_536</t>
  </si>
  <si>
    <t>Client_537</t>
  </si>
  <si>
    <t>Client_538</t>
  </si>
  <si>
    <t>Client_539</t>
  </si>
  <si>
    <t>Client_540</t>
  </si>
  <si>
    <t>Client_541</t>
  </si>
  <si>
    <t>Client_542</t>
  </si>
  <si>
    <t>Client_543</t>
  </si>
  <si>
    <t>Client_544</t>
  </si>
  <si>
    <t>Client_545</t>
  </si>
  <si>
    <t>Client_546</t>
  </si>
  <si>
    <t>Client_547</t>
  </si>
  <si>
    <t>Client_548</t>
  </si>
  <si>
    <t>Client_549</t>
  </si>
  <si>
    <t>Client_550</t>
  </si>
  <si>
    <t>Transaction ID</t>
  </si>
  <si>
    <t>Date</t>
  </si>
  <si>
    <t>Amount</t>
  </si>
  <si>
    <t>Transaction Type</t>
  </si>
  <si>
    <t>Flagged</t>
  </si>
  <si>
    <t>Transaction Risk Score</t>
  </si>
  <si>
    <t>Behavioral Risk Score</t>
  </si>
  <si>
    <t xml:space="preserve">Final Risk Score </t>
  </si>
  <si>
    <t>T0001</t>
  </si>
  <si>
    <t>2026-05-15</t>
  </si>
  <si>
    <t>Transfer</t>
  </si>
  <si>
    <t>T0002</t>
  </si>
  <si>
    <t>2026-02-15</t>
  </si>
  <si>
    <t>T0003</t>
  </si>
  <si>
    <t>2026-06-15</t>
  </si>
  <si>
    <t>Wire</t>
  </si>
  <si>
    <t>T0004</t>
  </si>
  <si>
    <t>2026-01-12</t>
  </si>
  <si>
    <t>T0005</t>
  </si>
  <si>
    <t>2026-05-17</t>
  </si>
  <si>
    <t>T0006</t>
  </si>
  <si>
    <t>2026-01-11</t>
  </si>
  <si>
    <t>Deposit</t>
  </si>
  <si>
    <t>T0007</t>
  </si>
  <si>
    <t>2026-02-06</t>
  </si>
  <si>
    <t>T0008</t>
  </si>
  <si>
    <t>2026-01-15</t>
  </si>
  <si>
    <t>T0009</t>
  </si>
  <si>
    <t>2026-05-14</t>
  </si>
  <si>
    <t>T0010</t>
  </si>
  <si>
    <t>2026-01-30</t>
  </si>
  <si>
    <t>T0011</t>
  </si>
  <si>
    <t>2026-02-09</t>
  </si>
  <si>
    <t>T0012</t>
  </si>
  <si>
    <t>2026-06-21</t>
  </si>
  <si>
    <t>T0013</t>
  </si>
  <si>
    <t>2026-03-10</t>
  </si>
  <si>
    <t>T0014</t>
  </si>
  <si>
    <t>2026-04-12</t>
  </si>
  <si>
    <t>T0015</t>
  </si>
  <si>
    <t>2026-05-29</t>
  </si>
  <si>
    <t>T0016</t>
  </si>
  <si>
    <t>2026-05-30</t>
  </si>
  <si>
    <t>T0017</t>
  </si>
  <si>
    <t>T0018</t>
  </si>
  <si>
    <t>2026-04-11</t>
  </si>
  <si>
    <t>T0019</t>
  </si>
  <si>
    <t>2026-05-13</t>
  </si>
  <si>
    <t>T0020</t>
  </si>
  <si>
    <t>2026-05-27</t>
  </si>
  <si>
    <t>T0021</t>
  </si>
  <si>
    <t>2026-06-02</t>
  </si>
  <si>
    <t>T0022</t>
  </si>
  <si>
    <t>2026-04-01</t>
  </si>
  <si>
    <t>T0023</t>
  </si>
  <si>
    <t>2026-05-02</t>
  </si>
  <si>
    <t>T0024</t>
  </si>
  <si>
    <t>2026-06-08</t>
  </si>
  <si>
    <t>T0025</t>
  </si>
  <si>
    <t>T0026</t>
  </si>
  <si>
    <t>2026-06-10</t>
  </si>
  <si>
    <t>T0027</t>
  </si>
  <si>
    <t>2026-04-27</t>
  </si>
  <si>
    <t>T0028</t>
  </si>
  <si>
    <t>2026-05-09</t>
  </si>
  <si>
    <t>T0029</t>
  </si>
  <si>
    <t>2026-02-05</t>
  </si>
  <si>
    <t>T0030</t>
  </si>
  <si>
    <t>2026-02-12</t>
  </si>
  <si>
    <t>T0031</t>
  </si>
  <si>
    <t>2026-06-19</t>
  </si>
  <si>
    <t>T0032</t>
  </si>
  <si>
    <t>2026-01-26</t>
  </si>
  <si>
    <t>T0033</t>
  </si>
  <si>
    <t>2026-03-02</t>
  </si>
  <si>
    <t>T0034</t>
  </si>
  <si>
    <t>2026-04-03</t>
  </si>
  <si>
    <t>T0035</t>
  </si>
  <si>
    <t>2026-01-02</t>
  </si>
  <si>
    <t>T0036</t>
  </si>
  <si>
    <t>2026-05-01</t>
  </si>
  <si>
    <t>T0037</t>
  </si>
  <si>
    <t>2026-01-06</t>
  </si>
  <si>
    <t>T0038</t>
  </si>
  <si>
    <t>T0039</t>
  </si>
  <si>
    <t>2026-06-13</t>
  </si>
  <si>
    <t>T0040</t>
  </si>
  <si>
    <t>T0041</t>
  </si>
  <si>
    <t>2026-03-30</t>
  </si>
  <si>
    <t>T0042</t>
  </si>
  <si>
    <t>T0043</t>
  </si>
  <si>
    <t>2026-01-28</t>
  </si>
  <si>
    <t>T0044</t>
  </si>
  <si>
    <t>2026-03-15</t>
  </si>
  <si>
    <t>T0045</t>
  </si>
  <si>
    <t>2026-05-28</t>
  </si>
  <si>
    <t>T0046</t>
  </si>
  <si>
    <t>T0047</t>
  </si>
  <si>
    <t>2026-03-03</t>
  </si>
  <si>
    <t>T0048</t>
  </si>
  <si>
    <t>2026-05-18</t>
  </si>
  <si>
    <t>T0049</t>
  </si>
  <si>
    <t>2026-05-22</t>
  </si>
  <si>
    <t>T0050</t>
  </si>
  <si>
    <t>2026-02-20</t>
  </si>
  <si>
    <t>T0051</t>
  </si>
  <si>
    <t>T0052</t>
  </si>
  <si>
    <t>2026-05-07</t>
  </si>
  <si>
    <t>T0053</t>
  </si>
  <si>
    <t>2026-03-19</t>
  </si>
  <si>
    <t>T0054</t>
  </si>
  <si>
    <t>T0055</t>
  </si>
  <si>
    <t>2026-02-23</t>
  </si>
  <si>
    <t>T0056</t>
  </si>
  <si>
    <t>2026-04-02</t>
  </si>
  <si>
    <t>T0057</t>
  </si>
  <si>
    <t>2026-03-17</t>
  </si>
  <si>
    <t>T0058</t>
  </si>
  <si>
    <t>2026-06-27</t>
  </si>
  <si>
    <t>T0059</t>
  </si>
  <si>
    <t>2026-04-06</t>
  </si>
  <si>
    <t>T0060</t>
  </si>
  <si>
    <t>2026-03-06</t>
  </si>
  <si>
    <t>T0061</t>
  </si>
  <si>
    <t>T0062</t>
  </si>
  <si>
    <t>2026-05-12</t>
  </si>
  <si>
    <t>T0063</t>
  </si>
  <si>
    <t>T0064</t>
  </si>
  <si>
    <t>T0065</t>
  </si>
  <si>
    <t>2026-03-04</t>
  </si>
  <si>
    <t>T0066</t>
  </si>
  <si>
    <t>2026-04-07</t>
  </si>
  <si>
    <t>T0067</t>
  </si>
  <si>
    <t>2026-03-07</t>
  </si>
  <si>
    <t>T0068</t>
  </si>
  <si>
    <t>2026-06-20</t>
  </si>
  <si>
    <t>T0069</t>
  </si>
  <si>
    <t>T0070</t>
  </si>
  <si>
    <t>T0071</t>
  </si>
  <si>
    <t>2026-03-31</t>
  </si>
  <si>
    <t>T0072</t>
  </si>
  <si>
    <t>T0073</t>
  </si>
  <si>
    <t>2026-06-14</t>
  </si>
  <si>
    <t>T0074</t>
  </si>
  <si>
    <t>T0075</t>
  </si>
  <si>
    <t>2026-02-19</t>
  </si>
  <si>
    <t>T0076</t>
  </si>
  <si>
    <t>2026-05-05</t>
  </si>
  <si>
    <t>T0077</t>
  </si>
  <si>
    <t>T0078</t>
  </si>
  <si>
    <t>T0079</t>
  </si>
  <si>
    <t>2026-01-27</t>
  </si>
  <si>
    <t>T0080</t>
  </si>
  <si>
    <t>2026-04-10</t>
  </si>
  <si>
    <t>T0081</t>
  </si>
  <si>
    <t>T0082</t>
  </si>
  <si>
    <t>2026-06-03</t>
  </si>
  <si>
    <t>T0083</t>
  </si>
  <si>
    <t>2026-01-04</t>
  </si>
  <si>
    <t>T0084</t>
  </si>
  <si>
    <t>2026-03-16</t>
  </si>
  <si>
    <t>T0085</t>
  </si>
  <si>
    <t>2026-02-02</t>
  </si>
  <si>
    <t>T0086</t>
  </si>
  <si>
    <t>T0087</t>
  </si>
  <si>
    <t>2026-05-21</t>
  </si>
  <si>
    <t>T0088</t>
  </si>
  <si>
    <t>2026-01-22</t>
  </si>
  <si>
    <t>T0089</t>
  </si>
  <si>
    <t>2026-04-28</t>
  </si>
  <si>
    <t>T0090</t>
  </si>
  <si>
    <t>T0091</t>
  </si>
  <si>
    <t>T0092</t>
  </si>
  <si>
    <t>2026-06-28</t>
  </si>
  <si>
    <t>T0093</t>
  </si>
  <si>
    <t>T0094</t>
  </si>
  <si>
    <t>2026-02-03</t>
  </si>
  <si>
    <t>T0095</t>
  </si>
  <si>
    <t>2026-02-26</t>
  </si>
  <si>
    <t>T0096</t>
  </si>
  <si>
    <t>2026-02-18</t>
  </si>
  <si>
    <t>T0097</t>
  </si>
  <si>
    <t>2026-04-25</t>
  </si>
  <si>
    <t>T0098</t>
  </si>
  <si>
    <t>2026-03-25</t>
  </si>
  <si>
    <t>T0099</t>
  </si>
  <si>
    <t>T0100</t>
  </si>
  <si>
    <t>T0101</t>
  </si>
  <si>
    <t>T0102</t>
  </si>
  <si>
    <t>2026-04-05</t>
  </si>
  <si>
    <t>T0103</t>
  </si>
  <si>
    <t>2026-02-07</t>
  </si>
  <si>
    <t>T0104</t>
  </si>
  <si>
    <t>T0105</t>
  </si>
  <si>
    <t>T0106</t>
  </si>
  <si>
    <t>2026-02-13</t>
  </si>
  <si>
    <t>T0107</t>
  </si>
  <si>
    <t>2026-05-31</t>
  </si>
  <si>
    <t>T0108</t>
  </si>
  <si>
    <t>T0109</t>
  </si>
  <si>
    <t>2026-01-24</t>
  </si>
  <si>
    <t>T0110</t>
  </si>
  <si>
    <t>T0111</t>
  </si>
  <si>
    <t>T0112</t>
  </si>
  <si>
    <t>T0113</t>
  </si>
  <si>
    <t>T0114</t>
  </si>
  <si>
    <t>T0115</t>
  </si>
  <si>
    <t>2026-04-26</t>
  </si>
  <si>
    <t>T0116</t>
  </si>
  <si>
    <t>T0117</t>
  </si>
  <si>
    <t>T0118</t>
  </si>
  <si>
    <t>2026-02-10</t>
  </si>
  <si>
    <t>T0119</t>
  </si>
  <si>
    <t>T0120</t>
  </si>
  <si>
    <t>2026-05-16</t>
  </si>
  <si>
    <t>T0121</t>
  </si>
  <si>
    <t>T0122</t>
  </si>
  <si>
    <t>2026-03-28</t>
  </si>
  <si>
    <t>T0123</t>
  </si>
  <si>
    <t>T0124</t>
  </si>
  <si>
    <t>2026-01-14</t>
  </si>
  <si>
    <t>T0125</t>
  </si>
  <si>
    <t>T0126</t>
  </si>
  <si>
    <t>2026-03-20</t>
  </si>
  <si>
    <t>T0127</t>
  </si>
  <si>
    <t>T0128</t>
  </si>
  <si>
    <t>T0129</t>
  </si>
  <si>
    <t>T0130</t>
  </si>
  <si>
    <t>T0131</t>
  </si>
  <si>
    <t>2026-04-08</t>
  </si>
  <si>
    <t>T0132</t>
  </si>
  <si>
    <t>2026-02-04</t>
  </si>
  <si>
    <t>T0133</t>
  </si>
  <si>
    <t>2026-01-08</t>
  </si>
  <si>
    <t>T0134</t>
  </si>
  <si>
    <t>T0135</t>
  </si>
  <si>
    <t>T0136</t>
  </si>
  <si>
    <t>2026-02-27</t>
  </si>
  <si>
    <t>T0137</t>
  </si>
  <si>
    <t>T0138</t>
  </si>
  <si>
    <t>2026-05-08</t>
  </si>
  <si>
    <t>T0139</t>
  </si>
  <si>
    <t>2026-05-23</t>
  </si>
  <si>
    <t>T0140</t>
  </si>
  <si>
    <t>T0141</t>
  </si>
  <si>
    <t>T0142</t>
  </si>
  <si>
    <t>T0143</t>
  </si>
  <si>
    <t>T0144</t>
  </si>
  <si>
    <t>2026-03-08</t>
  </si>
  <si>
    <t>T0145</t>
  </si>
  <si>
    <t>2026-06-24</t>
  </si>
  <si>
    <t>T0146</t>
  </si>
  <si>
    <t>T0147</t>
  </si>
  <si>
    <t>2026-06-11</t>
  </si>
  <si>
    <t>T0148</t>
  </si>
  <si>
    <t>T0149</t>
  </si>
  <si>
    <t>T0150</t>
  </si>
  <si>
    <t>T0151</t>
  </si>
  <si>
    <t>2026-03-29</t>
  </si>
  <si>
    <t>T0152</t>
  </si>
  <si>
    <t>T0153</t>
  </si>
  <si>
    <t>2026-04-22</t>
  </si>
  <si>
    <t>T0154</t>
  </si>
  <si>
    <t>T0155</t>
  </si>
  <si>
    <t>2026-03-24</t>
  </si>
  <si>
    <t>T0156</t>
  </si>
  <si>
    <t>T0157</t>
  </si>
  <si>
    <t>2026-01-25</t>
  </si>
  <si>
    <t>T0158</t>
  </si>
  <si>
    <t>2026-04-23</t>
  </si>
  <si>
    <t>T0159</t>
  </si>
  <si>
    <t>2026-05-25</t>
  </si>
  <si>
    <t>T0160</t>
  </si>
  <si>
    <t>2026-05-24</t>
  </si>
  <si>
    <t>T0161</t>
  </si>
  <si>
    <t>2026-01-16</t>
  </si>
  <si>
    <t>T0162</t>
  </si>
  <si>
    <t>T0163</t>
  </si>
  <si>
    <t>2026-04-14</t>
  </si>
  <si>
    <t>T0164</t>
  </si>
  <si>
    <t>2026-02-16</t>
  </si>
  <si>
    <t>T0165</t>
  </si>
  <si>
    <t>T0166</t>
  </si>
  <si>
    <t>2026-05-04</t>
  </si>
  <si>
    <t>T0167</t>
  </si>
  <si>
    <t>2026-01-03</t>
  </si>
  <si>
    <t>T0168</t>
  </si>
  <si>
    <t>T0169</t>
  </si>
  <si>
    <t>2026-04-21</t>
  </si>
  <si>
    <t>T0170</t>
  </si>
  <si>
    <t>2026-03-26</t>
  </si>
  <si>
    <t>T0171</t>
  </si>
  <si>
    <t>2026-06-22</t>
  </si>
  <si>
    <t>T0172</t>
  </si>
  <si>
    <t>T0173</t>
  </si>
  <si>
    <t>T0174</t>
  </si>
  <si>
    <t>T0175</t>
  </si>
  <si>
    <t>T0176</t>
  </si>
  <si>
    <t>2026-06-01</t>
  </si>
  <si>
    <t>T0177</t>
  </si>
  <si>
    <t>2026-03-18</t>
  </si>
  <si>
    <t>T0178</t>
  </si>
  <si>
    <t>T0179</t>
  </si>
  <si>
    <t>2026-02-08</t>
  </si>
  <si>
    <t>T0180</t>
  </si>
  <si>
    <t>T0181</t>
  </si>
  <si>
    <t>T0182</t>
  </si>
  <si>
    <t>T0183</t>
  </si>
  <si>
    <t>2026-06-18</t>
  </si>
  <si>
    <t>T0184</t>
  </si>
  <si>
    <t>2026-03-01</t>
  </si>
  <si>
    <t>T0185</t>
  </si>
  <si>
    <t>T0186</t>
  </si>
  <si>
    <t>T0187</t>
  </si>
  <si>
    <t>T0188</t>
  </si>
  <si>
    <t>T0189</t>
  </si>
  <si>
    <t>T0190</t>
  </si>
  <si>
    <t>2026-01-17</t>
  </si>
  <si>
    <t>T0191</t>
  </si>
  <si>
    <t>2026-03-09</t>
  </si>
  <si>
    <t>T0192</t>
  </si>
  <si>
    <t>T0193</t>
  </si>
  <si>
    <t>T0194</t>
  </si>
  <si>
    <t>T0195</t>
  </si>
  <si>
    <t>2026-01-01</t>
  </si>
  <si>
    <t>T0196</t>
  </si>
  <si>
    <t>T0197</t>
  </si>
  <si>
    <t>T0198</t>
  </si>
  <si>
    <t>T0199</t>
  </si>
  <si>
    <t>T0200</t>
  </si>
  <si>
    <t>2026-05-10</t>
  </si>
  <si>
    <t>T0201</t>
  </si>
  <si>
    <t>2026-04-19</t>
  </si>
  <si>
    <t>T0202</t>
  </si>
  <si>
    <t>2026-02-01</t>
  </si>
  <si>
    <t>T0203</t>
  </si>
  <si>
    <t>T0204</t>
  </si>
  <si>
    <t>2026-01-09</t>
  </si>
  <si>
    <t>T0205</t>
  </si>
  <si>
    <t>T0206</t>
  </si>
  <si>
    <t>T0207</t>
  </si>
  <si>
    <t>2026-02-11</t>
  </si>
  <si>
    <t>T0208</t>
  </si>
  <si>
    <t>2026-06-12</t>
  </si>
  <si>
    <t>T0209</t>
  </si>
  <si>
    <t>T0210</t>
  </si>
  <si>
    <t>2026-06-17</t>
  </si>
  <si>
    <t>T0211</t>
  </si>
  <si>
    <t>T0212</t>
  </si>
  <si>
    <t>2026-06-26</t>
  </si>
  <si>
    <t>T0213</t>
  </si>
  <si>
    <t>T0214</t>
  </si>
  <si>
    <t>2026-04-15</t>
  </si>
  <si>
    <t>T0215</t>
  </si>
  <si>
    <t>T0216</t>
  </si>
  <si>
    <t>T0217</t>
  </si>
  <si>
    <t>T0218</t>
  </si>
  <si>
    <t>T0219</t>
  </si>
  <si>
    <t>T0220</t>
  </si>
  <si>
    <t>2026-04-30</t>
  </si>
  <si>
    <t>T0221</t>
  </si>
  <si>
    <t>2026-03-11</t>
  </si>
  <si>
    <t>T0222</t>
  </si>
  <si>
    <t>T0223</t>
  </si>
  <si>
    <t>T0224</t>
  </si>
  <si>
    <t>T0225</t>
  </si>
  <si>
    <t>T0226</t>
  </si>
  <si>
    <t>T0227</t>
  </si>
  <si>
    <t>2026-06-07</t>
  </si>
  <si>
    <t>T0228</t>
  </si>
  <si>
    <t>2026-04-09</t>
  </si>
  <si>
    <t>T0229</t>
  </si>
  <si>
    <t>2026-03-22</t>
  </si>
  <si>
    <t>T0230</t>
  </si>
  <si>
    <t>T0231</t>
  </si>
  <si>
    <t>2026-02-24</t>
  </si>
  <si>
    <t>T0232</t>
  </si>
  <si>
    <t>T0233</t>
  </si>
  <si>
    <t>T0234</t>
  </si>
  <si>
    <t>T0235</t>
  </si>
  <si>
    <t>2026-04-20</t>
  </si>
  <si>
    <t>T0236</t>
  </si>
  <si>
    <t>T0237</t>
  </si>
  <si>
    <t>T0238</t>
  </si>
  <si>
    <t>T0239</t>
  </si>
  <si>
    <t>T0240</t>
  </si>
  <si>
    <t>2026-05-11</t>
  </si>
  <si>
    <t>T0241</t>
  </si>
  <si>
    <t>T0242</t>
  </si>
  <si>
    <t>2026-05-19</t>
  </si>
  <si>
    <t>T0243</t>
  </si>
  <si>
    <t>T0244</t>
  </si>
  <si>
    <t>T0245</t>
  </si>
  <si>
    <t>T0246</t>
  </si>
  <si>
    <t>T0247</t>
  </si>
  <si>
    <t>2026-02-21</t>
  </si>
  <si>
    <t>T0248</t>
  </si>
  <si>
    <t>T0249</t>
  </si>
  <si>
    <t>T0250</t>
  </si>
  <si>
    <t>T0251</t>
  </si>
  <si>
    <t>T0252</t>
  </si>
  <si>
    <t>T0253</t>
  </si>
  <si>
    <t>T0254</t>
  </si>
  <si>
    <t>2026-02-28</t>
  </si>
  <si>
    <t>T0255</t>
  </si>
  <si>
    <t>T0256</t>
  </si>
  <si>
    <t>2026-05-26</t>
  </si>
  <si>
    <t>T0257</t>
  </si>
  <si>
    <t>T0258</t>
  </si>
  <si>
    <t>2026-04-13</t>
  </si>
  <si>
    <t>T0259</t>
  </si>
  <si>
    <t>2026-06-29</t>
  </si>
  <si>
    <t>T0260</t>
  </si>
  <si>
    <t>2026-04-18</t>
  </si>
  <si>
    <t>T0261</t>
  </si>
  <si>
    <t>T0262</t>
  </si>
  <si>
    <t>T0263</t>
  </si>
  <si>
    <t>T0264</t>
  </si>
  <si>
    <t>T0265</t>
  </si>
  <si>
    <t>2026-06-16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</si>
  <si>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</si>
  <si>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</si>
  <si>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</si>
  <si>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</si>
  <si>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</si>
  <si>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</si>
  <si>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</si>
  <si>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</si>
  <si>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2026-02-25</t>
  </si>
  <si>
    <t>T0274</t>
  </si>
  <si>
    <t>T0275</t>
  </si>
  <si>
    <t>T0276</t>
  </si>
  <si>
    <t>T0277</t>
  </si>
  <si>
    <t>T0278</t>
  </si>
  <si>
    <t>T0279</t>
  </si>
  <si>
    <t>T0280</t>
  </si>
  <si>
    <t>2026-03-05</t>
  </si>
  <si>
    <t>T0281</t>
  </si>
  <si>
    <t>T0282</t>
  </si>
  <si>
    <t>T0283</t>
  </si>
  <si>
    <t>T0284</t>
  </si>
  <si>
    <t>2026-01-10</t>
  </si>
  <si>
    <t>T0285</t>
  </si>
  <si>
    <t>T0286</t>
  </si>
  <si>
    <t>2026-06-04</t>
  </si>
  <si>
    <t>T0287</t>
  </si>
  <si>
    <t>T0288</t>
  </si>
  <si>
    <t>2026-04-29</t>
  </si>
  <si>
    <t>T0289</t>
  </si>
  <si>
    <t>T0290</t>
  </si>
  <si>
    <t>2026-03-13</t>
  </si>
  <si>
    <t>T0291</t>
  </si>
  <si>
    <t>T0292</t>
  </si>
  <si>
    <t>2026-02-22</t>
  </si>
  <si>
    <t>T0293</t>
  </si>
  <si>
    <t>2026-02-17</t>
  </si>
  <si>
    <t>T0294</t>
  </si>
  <si>
    <t>T0295</t>
  </si>
  <si>
    <t>2026-03-23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</si>
  <si>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</si>
  <si>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</si>
  <si>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</si>
  <si>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</si>
  <si>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</si>
  <si>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</si>
  <si>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</si>
  <si>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</si>
  <si>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</si>
  <si>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2026-06-09</t>
  </si>
  <si>
    <t>T0305</t>
  </si>
  <si>
    <t>T0306</t>
  </si>
  <si>
    <t>T0307</t>
  </si>
  <si>
    <t>T0308</t>
  </si>
  <si>
    <t>T0309</t>
  </si>
  <si>
    <t>T0310</t>
  </si>
  <si>
    <t>2026-01-21</t>
  </si>
  <si>
    <t>T0311</t>
  </si>
  <si>
    <t>T0312</t>
  </si>
  <si>
    <t>2026-06-23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</si>
  <si>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</si>
  <si>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</si>
  <si>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</si>
  <si>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</si>
  <si>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</si>
  <si>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</si>
  <si>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</si>
  <si>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</si>
  <si>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</si>
  <si>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2026-02-14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</si>
  <si>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</si>
  <si>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</si>
  <si>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</si>
  <si>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</si>
  <si>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</si>
  <si>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</si>
  <si>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</si>
  <si>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</si>
  <si>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</si>
  <si>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</si>
  <si>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</si>
  <si>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</si>
  <si>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</si>
  <si>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</si>
  <si>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</si>
  <si>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</si>
  <si>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</si>
  <si>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</si>
  <si>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</si>
  <si>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</si>
  <si>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</si>
  <si>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</si>
  <si>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</si>
  <si>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</si>
  <si>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</si>
  <si>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</si>
  <si>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</si>
  <si>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</si>
  <si>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</si>
  <si>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</si>
  <si>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</si>
  <si>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</si>
  <si>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</si>
  <si>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</si>
  <si>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</si>
  <si>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</si>
  <si>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2026-06-05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</si>
  <si>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</si>
  <si>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</si>
  <si>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</si>
  <si>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</si>
  <si>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</si>
  <si>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</si>
  <si>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</si>
  <si>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</si>
  <si>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</si>
  <si>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</si>
  <si>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</si>
  <si>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2026-04-04</t>
  </si>
  <si>
    <t>T0369</t>
  </si>
  <si>
    <t>T0370</t>
  </si>
  <si>
    <t>2026-04-24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</si>
  <si>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</si>
  <si>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</si>
  <si>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</si>
  <si>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</si>
  <si>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</si>
  <si>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</si>
  <si>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</si>
  <si>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</si>
  <si>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2026-03-21</t>
  </si>
  <si>
    <t>T0379</t>
  </si>
  <si>
    <t>T0380</t>
  </si>
  <si>
    <t>T0381</t>
  </si>
  <si>
    <t>T0382</t>
  </si>
  <si>
    <t>T0383</t>
  </si>
  <si>
    <t>2026-01-19</t>
  </si>
  <si>
    <t>T0384</t>
  </si>
  <si>
    <t>T0385</t>
  </si>
  <si>
    <t>T0386</t>
  </si>
  <si>
    <t>T0387</t>
  </si>
  <si>
    <t>T0388</t>
  </si>
  <si>
    <t>T0389</t>
  </si>
  <si>
    <t>2026-01-23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</si>
  <si>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</si>
  <si>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</si>
  <si>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</si>
  <si>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</si>
  <si>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</si>
  <si>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</si>
  <si>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</si>
  <si>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</si>
  <si>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</si>
  <si>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</si>
  <si>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</si>
  <si>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</si>
  <si>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</si>
  <si>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</si>
  <si>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</si>
  <si>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</si>
  <si>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</si>
  <si>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</si>
  <si>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</si>
  <si>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</si>
  <si>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</si>
  <si>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</si>
  <si>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</si>
  <si>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</si>
  <si>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</si>
  <si>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</si>
  <si>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</si>
  <si>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</si>
  <si>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</si>
  <si>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</si>
  <si>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</si>
  <si>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</si>
  <si>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</si>
  <si>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</si>
  <si>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</si>
  <si>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</si>
  <si>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</si>
  <si>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</si>
  <si>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2026-01-07</t>
  </si>
  <si>
    <t>T0428</t>
  </si>
  <si>
    <t>T0429</t>
  </si>
  <si>
    <t>2026-01-18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</si>
  <si>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</si>
  <si>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</si>
  <si>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</si>
  <si>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</si>
  <si>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</si>
  <si>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</si>
  <si>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</si>
  <si>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</si>
  <si>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</si>
  <si>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</si>
  <si>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</si>
  <si>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2026-05-06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</si>
  <si>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</si>
  <si>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</si>
  <si>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</si>
  <si>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</si>
  <si>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</si>
  <si>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</si>
  <si>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</si>
  <si>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</si>
  <si>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</si>
  <si>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</si>
  <si>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</si>
  <si>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</si>
  <si>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</si>
  <si>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</si>
  <si>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</si>
  <si>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</si>
  <si>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</si>
  <si>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</si>
  <si>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</si>
  <si>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</si>
  <si>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</si>
  <si>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</si>
  <si>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</si>
  <si>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</si>
  <si>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</si>
  <si>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</si>
  <si>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</si>
  <si>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</si>
  <si>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</si>
  <si>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2026-03-14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</si>
  <si>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</si>
  <si>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</si>
  <si>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</si>
  <si>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</si>
  <si>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</si>
  <si>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</si>
  <si>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</si>
  <si>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</si>
  <si>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</si>
  <si>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2026-01-13</t>
  </si>
  <si>
    <t>T0479</t>
  </si>
  <si>
    <t>T0480</t>
  </si>
  <si>
    <t>T0481</t>
  </si>
  <si>
    <t>T0482</t>
  </si>
  <si>
    <t>T0483</t>
  </si>
  <si>
    <t>T0484</t>
  </si>
  <si>
    <t>T0485</t>
  </si>
  <si>
    <t>2026-05-03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</si>
  <si>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</si>
  <si>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</si>
  <si>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</si>
  <si>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</si>
  <si>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</si>
  <si>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</si>
  <si>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</si>
  <si>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</si>
  <si>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</si>
  <si>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</si>
  <si>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</si>
  <si>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</si>
  <si>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</si>
  <si>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</si>
  <si>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</si>
  <si>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</si>
  <si>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</si>
  <si>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</si>
  <si>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</si>
  <si>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</si>
  <si>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</si>
  <si>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</si>
  <si>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</si>
  <si>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</si>
  <si>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</si>
  <si>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</si>
  <si>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</si>
  <si>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</si>
  <si>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</si>
  <si>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</si>
  <si>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</si>
  <si>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</si>
  <si>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</si>
  <si>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</si>
  <si>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</si>
  <si>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</si>
  <si>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</si>
  <si>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</si>
  <si>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</si>
  <si>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</si>
  <si>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</si>
  <si>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</si>
  <si>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</si>
  <si>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</si>
  <si>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</si>
  <si>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2026-01-31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</si>
  <si>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</si>
  <si>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</si>
  <si>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</si>
  <si>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</si>
  <si>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</si>
  <si>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</si>
  <si>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</si>
  <si>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</si>
  <si>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</si>
  <si>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</si>
  <si>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</si>
  <si>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</si>
  <si>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</si>
  <si>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</si>
  <si>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</si>
  <si>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</si>
  <si>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</si>
  <si>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</si>
  <si>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</si>
  <si>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2026-05-20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</si>
  <si>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</si>
  <si>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</si>
  <si>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</si>
  <si>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</si>
  <si>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</si>
  <si>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</si>
  <si>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</si>
  <si>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</si>
  <si>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</si>
  <si>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</si>
  <si>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</si>
  <si>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</si>
  <si>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</si>
  <si>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</si>
  <si>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</si>
  <si>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2026-01-20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</si>
  <si>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</si>
  <si>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</si>
  <si>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</si>
  <si>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</si>
  <si>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</si>
  <si>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</si>
  <si>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</si>
  <si>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</si>
  <si>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</si>
  <si>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</si>
  <si>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</si>
  <si>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</si>
  <si>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</si>
  <si>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</si>
  <si>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</si>
  <si>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</si>
  <si>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</si>
  <si>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</si>
  <si>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</si>
  <si>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</si>
  <si>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</si>
  <si>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</si>
  <si>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</si>
  <si>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</si>
  <si>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</si>
  <si>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</si>
  <si>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</si>
  <si>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</si>
  <si>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</si>
  <si>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</si>
  <si>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</si>
  <si>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</si>
  <si>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</si>
  <si>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</si>
  <si>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</si>
  <si>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</si>
  <si>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</si>
  <si>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</si>
  <si>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</si>
  <si>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</si>
  <si>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</si>
  <si>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</si>
  <si>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</si>
  <si>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</si>
  <si>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</si>
  <si>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2026-06-30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</si>
  <si>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</si>
  <si>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</si>
  <si>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</si>
  <si>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</si>
  <si>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</si>
  <si>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</si>
  <si>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</si>
  <si>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</si>
  <si>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</si>
  <si>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</si>
  <si>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</si>
  <si>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</si>
  <si>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</si>
  <si>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</si>
  <si>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</si>
  <si>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</si>
  <si>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</si>
  <si>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</si>
  <si>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</si>
  <si>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</si>
  <si>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</si>
  <si>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</si>
  <si>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</si>
  <si>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</si>
  <si>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</si>
  <si>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</si>
  <si>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</si>
  <si>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</si>
  <si>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</si>
  <si>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2026-01-05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</si>
  <si>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</si>
  <si>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</si>
  <si>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</si>
  <si>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</si>
  <si>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</si>
  <si>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</si>
  <si>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</si>
  <si>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</si>
  <si>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</si>
  <si>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</si>
  <si>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</si>
  <si>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</si>
  <si>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</si>
  <si>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</si>
  <si>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</si>
  <si>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</si>
  <si>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</si>
  <si>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</si>
  <si>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</si>
  <si>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</si>
  <si>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</si>
  <si>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</si>
  <si>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</si>
  <si>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</si>
  <si>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</si>
  <si>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</si>
  <si>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</si>
  <si>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</si>
  <si>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</si>
  <si>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</si>
  <si>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</si>
  <si>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</si>
  <si>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</si>
  <si>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</si>
  <si>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</si>
  <si>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</si>
  <si>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</si>
  <si>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</si>
  <si>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</si>
  <si>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</si>
  <si>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</si>
  <si>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</si>
  <si>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</si>
  <si>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</si>
  <si>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2026-04-16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</si>
  <si>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</si>
  <si>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</si>
  <si>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</si>
  <si>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</si>
  <si>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</si>
  <si>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</si>
  <si>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</si>
  <si>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</si>
  <si>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</si>
  <si>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</si>
  <si>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</si>
  <si>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</si>
  <si>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</si>
  <si>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</si>
  <si>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</si>
  <si>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</si>
  <si>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</si>
  <si>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</si>
  <si>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</si>
  <si>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</si>
  <si>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</si>
  <si>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2026-03-12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</si>
  <si>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</si>
  <si>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</si>
  <si>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</si>
  <si>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</si>
  <si>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</si>
  <si>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</si>
  <si>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</si>
  <si>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</si>
  <si>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2026-06-06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</si>
  <si>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</si>
  <si>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</si>
  <si>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</si>
  <si>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</si>
  <si>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</si>
  <si>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</si>
  <si>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</si>
  <si>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</si>
  <si>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</si>
  <si>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</si>
  <si>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</si>
  <si>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</si>
  <si>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</si>
  <si>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</si>
  <si>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</si>
  <si>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</si>
  <si>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</si>
  <si>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</si>
  <si>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</si>
  <si>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</si>
  <si>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</si>
  <si>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</si>
  <si>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</si>
  <si>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</si>
  <si>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</si>
  <si>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</si>
  <si>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</si>
  <si>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</si>
  <si>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2026-03-27</t>
  </si>
  <si>
    <t>T0740</t>
  </si>
  <si>
    <t>2026-04-17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</si>
  <si>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</si>
  <si>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</si>
  <si>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</si>
  <si>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</si>
  <si>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</si>
  <si>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</si>
  <si>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</si>
  <si>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</si>
  <si>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</si>
  <si>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</si>
  <si>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</si>
  <si>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</si>
  <si>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</si>
  <si>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</si>
  <si>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</si>
  <si>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</si>
  <si>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</si>
  <si>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</si>
  <si>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</si>
  <si>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</si>
  <si>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</si>
  <si>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</si>
  <si>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</si>
  <si>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</si>
  <si>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</si>
  <si>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</si>
  <si>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</si>
  <si>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</si>
  <si>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</si>
  <si>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</si>
  <si>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</si>
  <si>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</si>
  <si>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</si>
  <si>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</si>
  <si>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</si>
  <si>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</si>
  <si>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</si>
  <si>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</si>
  <si>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</si>
  <si>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</si>
  <si>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</si>
  <si>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</si>
  <si>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</si>
  <si>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</si>
  <si>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</si>
  <si>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</si>
  <si>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</si>
  <si>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</si>
  <si>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</si>
  <si>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</si>
  <si>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</si>
  <si>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</si>
  <si>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</si>
  <si>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</si>
  <si>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</si>
  <si>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</si>
  <si>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</si>
  <si>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</si>
  <si>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</si>
  <si>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</si>
  <si>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</si>
  <si>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</si>
  <si>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</si>
  <si>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</si>
  <si>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</si>
  <si>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</si>
  <si>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</si>
  <si>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</si>
  <si>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</si>
  <si>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</si>
  <si>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</si>
  <si>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</si>
  <si>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</si>
  <si>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</si>
  <si>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</si>
  <si>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</si>
  <si>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</si>
  <si>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</si>
  <si>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</si>
  <si>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</si>
  <si>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</si>
  <si>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</si>
  <si>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</si>
  <si>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</si>
  <si>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</si>
  <si>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</si>
  <si>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</si>
  <si>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</si>
  <si>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</si>
  <si>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</si>
  <si>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</si>
  <si>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</si>
  <si>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</si>
  <si>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</si>
  <si>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</si>
  <si>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</si>
  <si>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</si>
  <si>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</si>
  <si>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</si>
  <si>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</si>
  <si>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</si>
  <si>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</si>
  <si>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</si>
  <si>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</si>
  <si>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</si>
  <si>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</si>
  <si>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</si>
  <si>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</si>
  <si>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</si>
  <si>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</si>
  <si>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</si>
  <si>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</si>
  <si>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</si>
  <si>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</si>
  <si>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</si>
  <si>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</si>
  <si>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</si>
  <si>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</si>
  <si>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</si>
  <si>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</si>
  <si>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</si>
  <si>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</si>
  <si>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</si>
  <si>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</si>
  <si>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</si>
  <si>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</si>
  <si>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</si>
  <si>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</si>
  <si>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</si>
  <si>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</si>
  <si>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</si>
  <si>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</si>
  <si>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</si>
  <si>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</si>
  <si>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</si>
  <si>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</si>
  <si>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</si>
  <si>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</si>
  <si>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</si>
  <si>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</si>
  <si>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</si>
  <si>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</si>
  <si>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</si>
  <si>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</si>
  <si>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</si>
  <si>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</si>
  <si>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</si>
  <si>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</si>
  <si>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</si>
  <si>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2026-06-25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</si>
  <si>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</si>
  <si>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</si>
  <si>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</si>
  <si>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</si>
  <si>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</si>
  <si>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</si>
  <si>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</si>
  <si>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</si>
  <si>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</si>
  <si>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</si>
  <si>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</si>
  <si>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</si>
  <si>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</si>
  <si>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</si>
  <si>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</si>
  <si>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</si>
  <si>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</si>
  <si>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</si>
  <si>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</si>
  <si>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</si>
  <si>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</si>
  <si>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</si>
  <si>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</si>
  <si>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</si>
  <si>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</si>
  <si>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</si>
  <si>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</si>
  <si>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</si>
  <si>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</si>
  <si>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</si>
  <si>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</si>
  <si>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</si>
  <si>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</si>
  <si>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</si>
  <si>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</si>
  <si>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</si>
  <si>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</si>
  <si>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</si>
  <si>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</si>
  <si>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</si>
  <si>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</si>
  <si>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</si>
  <si>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</si>
  <si>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</si>
  <si>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</si>
  <si>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</si>
  <si>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</si>
  <si>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</si>
  <si>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</si>
  <si>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</si>
  <si>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</si>
  <si>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</si>
  <si>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</si>
  <si>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</si>
  <si>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</si>
  <si>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</si>
  <si>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</si>
  <si>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</si>
  <si>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</si>
  <si>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</si>
  <si>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</si>
  <si>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</si>
  <si>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</si>
  <si>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</si>
  <si>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</si>
  <si>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</si>
  <si>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</si>
  <si>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</si>
  <si>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</si>
  <si>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</si>
  <si>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</si>
  <si>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</si>
  <si>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</si>
  <si>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</si>
  <si>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</si>
  <si>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</si>
  <si>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</si>
  <si>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2026-01-29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</si>
  <si>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</si>
  <si>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</si>
  <si>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</si>
  <si>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</si>
  <si>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</si>
  <si>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</si>
  <si>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</si>
  <si>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</si>
  <si>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</si>
  <si>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</si>
  <si>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</si>
  <si>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</si>
  <si>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</si>
  <si>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</si>
  <si>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</si>
  <si>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</si>
  <si>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</si>
  <si>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</si>
  <si>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</si>
  <si>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</si>
  <si>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</si>
  <si>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</si>
  <si>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</si>
  <si>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</si>
  <si>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</si>
  <si>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</si>
  <si>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</si>
  <si>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</si>
  <si>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</si>
  <si>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</si>
  <si>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</si>
  <si>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</si>
  <si>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</si>
  <si>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</si>
  <si>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KYC Status</t>
  </si>
  <si>
    <t>Documents Missing (Yes/No)</t>
  </si>
  <si>
    <t>Last Updated</t>
  </si>
  <si>
    <t>Risk Score</t>
  </si>
  <si>
    <t>Risk Category</t>
  </si>
  <si>
    <t>Pending</t>
  </si>
  <si>
    <t>Completed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</si>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</sst>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1"/>
  <sheetViews>
    <sheetView workbookViewId="0">
      <selection activeCell="K1" sqref="K1"/>
    </sheetView>
  </sheetViews>
  <sheetFormatPr defaultColWidth="9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745590</v>
      </c>
      <c r="G2" t="s">
        <v>14</v>
      </c>
      <c r="H2" t="s">
        <v>15</v>
      </c>
      <c r="I2">
        <f>IF(TRIM(LOWER(G2))="yes",40,IF(VALUE(F2)&gt;1000000,20,10))</f>
        <v>10</v>
      </c>
      <c r="J2" s="1">
        <f>IF(OR(C2="UAE",C2="Nigeria"),30,IF(C2="USA",20,10))</f>
        <v>10</v>
      </c>
    </row>
    <row r="3" spans="1:10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715838</v>
      </c>
      <c r="G3" t="s">
        <v>20</v>
      </c>
      <c r="H3" t="s">
        <v>21</v>
      </c>
      <c r="I3">
        <f t="shared" ref="I3:I66" si="0">IF(TRIM(LOWER(G3))="yes",40,IF(VALUE(F3)&gt;1000000,20,10))</f>
        <v>40</v>
      </c>
      <c r="J3" s="1">
        <f t="shared" ref="J3:J66" si="1">IF(OR(C3="UAE",C3="Nigeria"),30,IF(C3="USA",20,10))</f>
        <v>30</v>
      </c>
    </row>
    <row r="4" spans="1:10">
      <c r="A4">
        <v>1003</v>
      </c>
      <c r="B4" t="s">
        <v>22</v>
      </c>
      <c r="C4" t="s">
        <v>23</v>
      </c>
      <c r="D4" t="s">
        <v>24</v>
      </c>
      <c r="E4" t="s">
        <v>25</v>
      </c>
      <c r="F4">
        <v>769997</v>
      </c>
      <c r="G4" t="s">
        <v>20</v>
      </c>
      <c r="H4" t="s">
        <v>21</v>
      </c>
      <c r="I4">
        <f t="shared" si="0"/>
        <v>40</v>
      </c>
      <c r="J4" s="1">
        <f t="shared" si="1"/>
        <v>20</v>
      </c>
    </row>
    <row r="5" spans="1:10">
      <c r="A5">
        <v>1004</v>
      </c>
      <c r="B5" t="s">
        <v>26</v>
      </c>
      <c r="C5" t="s">
        <v>27</v>
      </c>
      <c r="D5" t="s">
        <v>12</v>
      </c>
      <c r="E5" t="s">
        <v>25</v>
      </c>
      <c r="F5">
        <v>341809</v>
      </c>
      <c r="G5" t="s">
        <v>20</v>
      </c>
      <c r="H5" t="s">
        <v>21</v>
      </c>
      <c r="I5">
        <f t="shared" si="0"/>
        <v>40</v>
      </c>
      <c r="J5" s="1">
        <f t="shared" si="1"/>
        <v>10</v>
      </c>
    </row>
    <row r="6" spans="1:10">
      <c r="A6">
        <v>1005</v>
      </c>
      <c r="B6" t="s">
        <v>28</v>
      </c>
      <c r="C6" t="s">
        <v>17</v>
      </c>
      <c r="D6" t="s">
        <v>18</v>
      </c>
      <c r="E6" t="s">
        <v>13</v>
      </c>
      <c r="F6">
        <v>1066272</v>
      </c>
      <c r="G6" t="s">
        <v>20</v>
      </c>
      <c r="H6" t="s">
        <v>15</v>
      </c>
      <c r="I6">
        <f t="shared" si="0"/>
        <v>40</v>
      </c>
      <c r="J6" s="1">
        <f t="shared" si="1"/>
        <v>30</v>
      </c>
    </row>
    <row r="7" spans="1:10">
      <c r="A7">
        <v>1006</v>
      </c>
      <c r="B7" t="s">
        <v>29</v>
      </c>
      <c r="C7" t="s">
        <v>11</v>
      </c>
      <c r="D7" t="s">
        <v>12</v>
      </c>
      <c r="E7" t="s">
        <v>30</v>
      </c>
      <c r="F7">
        <v>452611</v>
      </c>
      <c r="G7" t="s">
        <v>20</v>
      </c>
      <c r="H7" t="s">
        <v>21</v>
      </c>
      <c r="I7">
        <f t="shared" si="0"/>
        <v>40</v>
      </c>
      <c r="J7" s="1">
        <f t="shared" si="1"/>
        <v>10</v>
      </c>
    </row>
    <row r="8" spans="1:10">
      <c r="A8">
        <v>1007</v>
      </c>
      <c r="B8" t="s">
        <v>31</v>
      </c>
      <c r="C8" t="s">
        <v>11</v>
      </c>
      <c r="D8" t="s">
        <v>12</v>
      </c>
      <c r="E8" t="s">
        <v>25</v>
      </c>
      <c r="F8">
        <v>674973</v>
      </c>
      <c r="G8" t="s">
        <v>20</v>
      </c>
      <c r="H8" t="s">
        <v>15</v>
      </c>
      <c r="I8">
        <f t="shared" si="0"/>
        <v>40</v>
      </c>
      <c r="J8" s="1">
        <f t="shared" si="1"/>
        <v>10</v>
      </c>
    </row>
    <row r="9" spans="1:10">
      <c r="A9">
        <v>1008</v>
      </c>
      <c r="B9" t="s">
        <v>32</v>
      </c>
      <c r="C9" t="s">
        <v>17</v>
      </c>
      <c r="D9" t="s">
        <v>18</v>
      </c>
      <c r="E9" t="s">
        <v>13</v>
      </c>
      <c r="F9">
        <v>1646401</v>
      </c>
      <c r="G9" t="s">
        <v>14</v>
      </c>
      <c r="H9" t="s">
        <v>21</v>
      </c>
      <c r="I9">
        <f t="shared" si="0"/>
        <v>20</v>
      </c>
      <c r="J9" s="1">
        <f t="shared" si="1"/>
        <v>30</v>
      </c>
    </row>
    <row r="10" spans="1:10">
      <c r="A10">
        <v>1009</v>
      </c>
      <c r="B10" t="s">
        <v>33</v>
      </c>
      <c r="C10" t="s">
        <v>27</v>
      </c>
      <c r="D10" t="s">
        <v>12</v>
      </c>
      <c r="E10" t="s">
        <v>34</v>
      </c>
      <c r="F10">
        <v>1006149</v>
      </c>
      <c r="G10" t="s">
        <v>14</v>
      </c>
      <c r="H10" t="s">
        <v>21</v>
      </c>
      <c r="I10">
        <f t="shared" si="0"/>
        <v>20</v>
      </c>
      <c r="J10" s="1">
        <f t="shared" si="1"/>
        <v>10</v>
      </c>
    </row>
    <row r="11" spans="1:10">
      <c r="A11">
        <v>1010</v>
      </c>
      <c r="B11" t="s">
        <v>35</v>
      </c>
      <c r="C11" t="s">
        <v>27</v>
      </c>
      <c r="D11" t="s">
        <v>12</v>
      </c>
      <c r="E11" t="s">
        <v>25</v>
      </c>
      <c r="F11">
        <v>551844</v>
      </c>
      <c r="G11" t="s">
        <v>20</v>
      </c>
      <c r="H11" t="s">
        <v>21</v>
      </c>
      <c r="I11">
        <f t="shared" si="0"/>
        <v>40</v>
      </c>
      <c r="J11" s="1">
        <f t="shared" si="1"/>
        <v>10</v>
      </c>
    </row>
    <row r="12" spans="1:10">
      <c r="A12">
        <v>1011</v>
      </c>
      <c r="B12" t="s">
        <v>36</v>
      </c>
      <c r="C12" t="s">
        <v>11</v>
      </c>
      <c r="D12" t="s">
        <v>12</v>
      </c>
      <c r="E12" t="s">
        <v>19</v>
      </c>
      <c r="F12">
        <v>1288593</v>
      </c>
      <c r="G12" t="s">
        <v>20</v>
      </c>
      <c r="H12" t="s">
        <v>15</v>
      </c>
      <c r="I12">
        <f t="shared" si="0"/>
        <v>40</v>
      </c>
      <c r="J12" s="1">
        <f t="shared" si="1"/>
        <v>10</v>
      </c>
    </row>
    <row r="13" spans="1:10">
      <c r="A13">
        <v>1012</v>
      </c>
      <c r="B13" t="s">
        <v>37</v>
      </c>
      <c r="C13" t="s">
        <v>23</v>
      </c>
      <c r="D13" t="s">
        <v>24</v>
      </c>
      <c r="E13" t="s">
        <v>13</v>
      </c>
      <c r="F13">
        <v>1708827</v>
      </c>
      <c r="G13" t="s">
        <v>14</v>
      </c>
      <c r="H13" t="s">
        <v>15</v>
      </c>
      <c r="I13">
        <f t="shared" si="0"/>
        <v>20</v>
      </c>
      <c r="J13" s="1">
        <f t="shared" si="1"/>
        <v>20</v>
      </c>
    </row>
    <row r="14" spans="1:10">
      <c r="A14">
        <v>1013</v>
      </c>
      <c r="B14" t="s">
        <v>38</v>
      </c>
      <c r="C14" t="s">
        <v>39</v>
      </c>
      <c r="D14" t="s">
        <v>12</v>
      </c>
      <c r="E14" t="s">
        <v>19</v>
      </c>
      <c r="F14">
        <v>806324</v>
      </c>
      <c r="G14" t="s">
        <v>20</v>
      </c>
      <c r="H14" t="s">
        <v>15</v>
      </c>
      <c r="I14">
        <f t="shared" si="0"/>
        <v>40</v>
      </c>
      <c r="J14" s="1">
        <f t="shared" si="1"/>
        <v>10</v>
      </c>
    </row>
    <row r="15" spans="1:10">
      <c r="A15">
        <v>1014</v>
      </c>
      <c r="B15" t="s">
        <v>40</v>
      </c>
      <c r="C15" t="s">
        <v>39</v>
      </c>
      <c r="D15" t="s">
        <v>12</v>
      </c>
      <c r="E15" t="s">
        <v>19</v>
      </c>
      <c r="F15">
        <v>1835350</v>
      </c>
      <c r="G15" t="s">
        <v>20</v>
      </c>
      <c r="H15" t="s">
        <v>21</v>
      </c>
      <c r="I15">
        <f t="shared" si="0"/>
        <v>40</v>
      </c>
      <c r="J15" s="1">
        <f t="shared" si="1"/>
        <v>10</v>
      </c>
    </row>
    <row r="16" spans="1:10">
      <c r="A16">
        <v>1015</v>
      </c>
      <c r="B16" t="s">
        <v>41</v>
      </c>
      <c r="C16" t="s">
        <v>27</v>
      </c>
      <c r="D16" t="s">
        <v>12</v>
      </c>
      <c r="E16" t="s">
        <v>34</v>
      </c>
      <c r="F16">
        <v>1523920</v>
      </c>
      <c r="G16" t="s">
        <v>14</v>
      </c>
      <c r="H16" t="s">
        <v>15</v>
      </c>
      <c r="I16">
        <f t="shared" si="0"/>
        <v>20</v>
      </c>
      <c r="J16" s="1">
        <f t="shared" si="1"/>
        <v>10</v>
      </c>
    </row>
    <row r="17" spans="1:10">
      <c r="A17">
        <v>1016</v>
      </c>
      <c r="B17" t="s">
        <v>42</v>
      </c>
      <c r="C17" t="s">
        <v>27</v>
      </c>
      <c r="D17" t="s">
        <v>12</v>
      </c>
      <c r="E17" t="s">
        <v>13</v>
      </c>
      <c r="F17">
        <v>1260037</v>
      </c>
      <c r="G17" t="s">
        <v>20</v>
      </c>
      <c r="H17" t="s">
        <v>21</v>
      </c>
      <c r="I17">
        <f t="shared" si="0"/>
        <v>40</v>
      </c>
      <c r="J17" s="1">
        <f t="shared" si="1"/>
        <v>10</v>
      </c>
    </row>
    <row r="18" spans="1:10">
      <c r="A18">
        <v>1017</v>
      </c>
      <c r="B18" t="s">
        <v>43</v>
      </c>
      <c r="C18" t="s">
        <v>23</v>
      </c>
      <c r="D18" t="s">
        <v>24</v>
      </c>
      <c r="E18" t="s">
        <v>30</v>
      </c>
      <c r="F18">
        <v>913850</v>
      </c>
      <c r="G18" t="s">
        <v>14</v>
      </c>
      <c r="H18" t="s">
        <v>15</v>
      </c>
      <c r="I18">
        <f t="shared" si="0"/>
        <v>10</v>
      </c>
      <c r="J18" s="1">
        <f t="shared" si="1"/>
        <v>20</v>
      </c>
    </row>
    <row r="19" spans="1:10">
      <c r="A19">
        <v>1018</v>
      </c>
      <c r="B19" t="s">
        <v>44</v>
      </c>
      <c r="C19" t="s">
        <v>27</v>
      </c>
      <c r="D19" t="s">
        <v>12</v>
      </c>
      <c r="E19" t="s">
        <v>19</v>
      </c>
      <c r="F19">
        <v>1922100</v>
      </c>
      <c r="G19" t="s">
        <v>14</v>
      </c>
      <c r="H19" t="s">
        <v>21</v>
      </c>
      <c r="I19">
        <f t="shared" si="0"/>
        <v>20</v>
      </c>
      <c r="J19" s="1">
        <f t="shared" si="1"/>
        <v>10</v>
      </c>
    </row>
    <row r="20" spans="1:10">
      <c r="A20">
        <v>1019</v>
      </c>
      <c r="B20" t="s">
        <v>45</v>
      </c>
      <c r="C20" t="s">
        <v>27</v>
      </c>
      <c r="D20" t="s">
        <v>12</v>
      </c>
      <c r="E20" t="s">
        <v>13</v>
      </c>
      <c r="F20">
        <v>1665922</v>
      </c>
      <c r="G20" t="s">
        <v>14</v>
      </c>
      <c r="H20" t="s">
        <v>21</v>
      </c>
      <c r="I20">
        <f t="shared" si="0"/>
        <v>20</v>
      </c>
      <c r="J20" s="1">
        <f t="shared" si="1"/>
        <v>10</v>
      </c>
    </row>
    <row r="21" spans="1:10">
      <c r="A21">
        <v>1020</v>
      </c>
      <c r="B21" t="s">
        <v>46</v>
      </c>
      <c r="C21" t="s">
        <v>17</v>
      </c>
      <c r="D21" t="s">
        <v>18</v>
      </c>
      <c r="E21" t="s">
        <v>25</v>
      </c>
      <c r="F21">
        <v>356221</v>
      </c>
      <c r="G21" t="s">
        <v>14</v>
      </c>
      <c r="H21" t="s">
        <v>21</v>
      </c>
      <c r="I21">
        <f t="shared" si="0"/>
        <v>10</v>
      </c>
      <c r="J21" s="1">
        <f t="shared" si="1"/>
        <v>30</v>
      </c>
    </row>
    <row r="22" spans="1:10">
      <c r="A22">
        <v>1021</v>
      </c>
      <c r="B22" t="s">
        <v>47</v>
      </c>
      <c r="C22" t="s">
        <v>27</v>
      </c>
      <c r="D22" t="s">
        <v>12</v>
      </c>
      <c r="E22" t="s">
        <v>30</v>
      </c>
      <c r="F22">
        <v>1247495</v>
      </c>
      <c r="G22" t="s">
        <v>14</v>
      </c>
      <c r="H22" t="s">
        <v>15</v>
      </c>
      <c r="I22">
        <f t="shared" si="0"/>
        <v>20</v>
      </c>
      <c r="J22" s="1">
        <f t="shared" si="1"/>
        <v>10</v>
      </c>
    </row>
    <row r="23" spans="1:10">
      <c r="A23">
        <v>1022</v>
      </c>
      <c r="B23" t="s">
        <v>48</v>
      </c>
      <c r="C23" t="s">
        <v>11</v>
      </c>
      <c r="D23" t="s">
        <v>12</v>
      </c>
      <c r="E23" t="s">
        <v>19</v>
      </c>
      <c r="F23">
        <v>730835</v>
      </c>
      <c r="G23" t="s">
        <v>20</v>
      </c>
      <c r="H23" t="s">
        <v>21</v>
      </c>
      <c r="I23">
        <f t="shared" si="0"/>
        <v>40</v>
      </c>
      <c r="J23" s="1">
        <f t="shared" si="1"/>
        <v>10</v>
      </c>
    </row>
    <row r="24" spans="1:10">
      <c r="A24">
        <v>1023</v>
      </c>
      <c r="B24" t="s">
        <v>49</v>
      </c>
      <c r="C24" t="s">
        <v>11</v>
      </c>
      <c r="D24" t="s">
        <v>12</v>
      </c>
      <c r="E24" t="s">
        <v>30</v>
      </c>
      <c r="F24">
        <v>1511467</v>
      </c>
      <c r="G24" t="s">
        <v>20</v>
      </c>
      <c r="H24" t="s">
        <v>21</v>
      </c>
      <c r="I24">
        <f t="shared" si="0"/>
        <v>40</v>
      </c>
      <c r="J24" s="1">
        <f t="shared" si="1"/>
        <v>10</v>
      </c>
    </row>
    <row r="25" spans="1:10">
      <c r="A25">
        <v>1024</v>
      </c>
      <c r="B25" t="s">
        <v>50</v>
      </c>
      <c r="C25" t="s">
        <v>11</v>
      </c>
      <c r="D25" t="s">
        <v>12</v>
      </c>
      <c r="E25" t="s">
        <v>25</v>
      </c>
      <c r="F25">
        <v>670726</v>
      </c>
      <c r="G25" t="s">
        <v>14</v>
      </c>
      <c r="H25" t="s">
        <v>21</v>
      </c>
      <c r="I25">
        <f t="shared" si="0"/>
        <v>10</v>
      </c>
      <c r="J25" s="1">
        <f t="shared" si="1"/>
        <v>10</v>
      </c>
    </row>
    <row r="26" spans="1:10">
      <c r="A26">
        <v>1025</v>
      </c>
      <c r="B26" t="s">
        <v>51</v>
      </c>
      <c r="C26" t="s">
        <v>11</v>
      </c>
      <c r="D26" t="s">
        <v>12</v>
      </c>
      <c r="E26" t="s">
        <v>25</v>
      </c>
      <c r="F26">
        <v>366058</v>
      </c>
      <c r="G26" t="s">
        <v>20</v>
      </c>
      <c r="H26" t="s">
        <v>21</v>
      </c>
      <c r="I26">
        <f t="shared" si="0"/>
        <v>40</v>
      </c>
      <c r="J26" s="1">
        <f t="shared" si="1"/>
        <v>10</v>
      </c>
    </row>
    <row r="27" spans="1:10">
      <c r="A27">
        <v>1026</v>
      </c>
      <c r="B27" t="s">
        <v>52</v>
      </c>
      <c r="C27" t="s">
        <v>39</v>
      </c>
      <c r="D27" t="s">
        <v>12</v>
      </c>
      <c r="E27" t="s">
        <v>25</v>
      </c>
      <c r="F27">
        <v>715828</v>
      </c>
      <c r="G27" t="s">
        <v>14</v>
      </c>
      <c r="H27" t="s">
        <v>21</v>
      </c>
      <c r="I27">
        <f t="shared" si="0"/>
        <v>10</v>
      </c>
      <c r="J27" s="1">
        <f t="shared" si="1"/>
        <v>10</v>
      </c>
    </row>
    <row r="28" spans="1:10">
      <c r="A28">
        <v>1027</v>
      </c>
      <c r="B28" t="s">
        <v>53</v>
      </c>
      <c r="C28" t="s">
        <v>54</v>
      </c>
      <c r="D28" t="s">
        <v>18</v>
      </c>
      <c r="E28" t="s">
        <v>30</v>
      </c>
      <c r="F28">
        <v>1751872</v>
      </c>
      <c r="G28" t="s">
        <v>20</v>
      </c>
      <c r="H28" t="s">
        <v>21</v>
      </c>
      <c r="I28">
        <f t="shared" si="0"/>
        <v>40</v>
      </c>
      <c r="J28" s="1">
        <f t="shared" si="1"/>
        <v>30</v>
      </c>
    </row>
    <row r="29" spans="1:10">
      <c r="A29">
        <v>1028</v>
      </c>
      <c r="B29" t="s">
        <v>55</v>
      </c>
      <c r="C29" t="s">
        <v>17</v>
      </c>
      <c r="D29" t="s">
        <v>18</v>
      </c>
      <c r="E29" t="s">
        <v>25</v>
      </c>
      <c r="F29">
        <v>575498</v>
      </c>
      <c r="G29" t="s">
        <v>14</v>
      </c>
      <c r="H29" t="s">
        <v>21</v>
      </c>
      <c r="I29">
        <f t="shared" si="0"/>
        <v>10</v>
      </c>
      <c r="J29" s="1">
        <f t="shared" si="1"/>
        <v>30</v>
      </c>
    </row>
    <row r="30" spans="1:10">
      <c r="A30">
        <v>1029</v>
      </c>
      <c r="B30" t="s">
        <v>56</v>
      </c>
      <c r="C30" t="s">
        <v>39</v>
      </c>
      <c r="D30" t="s">
        <v>12</v>
      </c>
      <c r="E30" t="s">
        <v>19</v>
      </c>
      <c r="F30">
        <v>1516721</v>
      </c>
      <c r="G30" t="s">
        <v>14</v>
      </c>
      <c r="H30" t="s">
        <v>15</v>
      </c>
      <c r="I30">
        <f t="shared" si="0"/>
        <v>20</v>
      </c>
      <c r="J30" s="1">
        <f t="shared" si="1"/>
        <v>10</v>
      </c>
    </row>
    <row r="31" spans="1:10">
      <c r="A31">
        <v>1030</v>
      </c>
      <c r="B31" t="s">
        <v>57</v>
      </c>
      <c r="C31" t="s">
        <v>54</v>
      </c>
      <c r="D31" t="s">
        <v>18</v>
      </c>
      <c r="E31" t="s">
        <v>34</v>
      </c>
      <c r="F31">
        <v>505253</v>
      </c>
      <c r="G31" t="s">
        <v>20</v>
      </c>
      <c r="H31" t="s">
        <v>21</v>
      </c>
      <c r="I31">
        <f t="shared" si="0"/>
        <v>40</v>
      </c>
      <c r="J31" s="1">
        <f t="shared" si="1"/>
        <v>30</v>
      </c>
    </row>
    <row r="32" spans="1:10">
      <c r="A32">
        <v>1031</v>
      </c>
      <c r="B32" t="s">
        <v>58</v>
      </c>
      <c r="C32" t="s">
        <v>54</v>
      </c>
      <c r="D32" t="s">
        <v>18</v>
      </c>
      <c r="E32" t="s">
        <v>30</v>
      </c>
      <c r="F32">
        <v>1422159</v>
      </c>
      <c r="G32" t="s">
        <v>14</v>
      </c>
      <c r="H32" t="s">
        <v>21</v>
      </c>
      <c r="I32">
        <f t="shared" si="0"/>
        <v>20</v>
      </c>
      <c r="J32" s="1">
        <f t="shared" si="1"/>
        <v>30</v>
      </c>
    </row>
    <row r="33" spans="1:10">
      <c r="A33">
        <v>1032</v>
      </c>
      <c r="B33" t="s">
        <v>59</v>
      </c>
      <c r="C33" t="s">
        <v>11</v>
      </c>
      <c r="D33" t="s">
        <v>12</v>
      </c>
      <c r="E33" t="s">
        <v>19</v>
      </c>
      <c r="F33">
        <v>1783188</v>
      </c>
      <c r="G33" t="s">
        <v>20</v>
      </c>
      <c r="H33" t="s">
        <v>21</v>
      </c>
      <c r="I33">
        <f t="shared" si="0"/>
        <v>40</v>
      </c>
      <c r="J33" s="1">
        <f t="shared" si="1"/>
        <v>10</v>
      </c>
    </row>
    <row r="34" spans="1:10">
      <c r="A34">
        <v>1033</v>
      </c>
      <c r="B34" t="s">
        <v>60</v>
      </c>
      <c r="C34" t="s">
        <v>27</v>
      </c>
      <c r="D34" t="s">
        <v>12</v>
      </c>
      <c r="E34" t="s">
        <v>34</v>
      </c>
      <c r="F34">
        <v>955315</v>
      </c>
      <c r="G34" t="s">
        <v>20</v>
      </c>
      <c r="H34" t="s">
        <v>21</v>
      </c>
      <c r="I34">
        <f t="shared" si="0"/>
        <v>40</v>
      </c>
      <c r="J34" s="1">
        <f t="shared" si="1"/>
        <v>10</v>
      </c>
    </row>
    <row r="35" spans="1:10">
      <c r="A35">
        <v>1034</v>
      </c>
      <c r="B35" t="s">
        <v>61</v>
      </c>
      <c r="C35" t="s">
        <v>27</v>
      </c>
      <c r="D35" t="s">
        <v>12</v>
      </c>
      <c r="E35" t="s">
        <v>34</v>
      </c>
      <c r="F35">
        <v>455778</v>
      </c>
      <c r="G35" t="s">
        <v>20</v>
      </c>
      <c r="H35" t="s">
        <v>21</v>
      </c>
      <c r="I35">
        <f t="shared" si="0"/>
        <v>40</v>
      </c>
      <c r="J35" s="1">
        <f t="shared" si="1"/>
        <v>10</v>
      </c>
    </row>
    <row r="36" spans="1:10">
      <c r="A36">
        <v>1035</v>
      </c>
      <c r="B36" t="s">
        <v>62</v>
      </c>
      <c r="C36" t="s">
        <v>39</v>
      </c>
      <c r="D36" t="s">
        <v>12</v>
      </c>
      <c r="E36" t="s">
        <v>13</v>
      </c>
      <c r="F36">
        <v>1764572</v>
      </c>
      <c r="G36" t="s">
        <v>20</v>
      </c>
      <c r="H36" t="s">
        <v>15</v>
      </c>
      <c r="I36">
        <f t="shared" si="0"/>
        <v>40</v>
      </c>
      <c r="J36" s="1">
        <f t="shared" si="1"/>
        <v>10</v>
      </c>
    </row>
    <row r="37" spans="1:10">
      <c r="A37">
        <v>1036</v>
      </c>
      <c r="B37" t="s">
        <v>63</v>
      </c>
      <c r="C37" t="s">
        <v>11</v>
      </c>
      <c r="D37" t="s">
        <v>12</v>
      </c>
      <c r="E37" t="s">
        <v>34</v>
      </c>
      <c r="F37">
        <v>1197608</v>
      </c>
      <c r="G37" t="s">
        <v>14</v>
      </c>
      <c r="H37" t="s">
        <v>21</v>
      </c>
      <c r="I37">
        <f t="shared" si="0"/>
        <v>20</v>
      </c>
      <c r="J37" s="1">
        <f t="shared" si="1"/>
        <v>10</v>
      </c>
    </row>
    <row r="38" spans="1:10">
      <c r="A38">
        <v>1037</v>
      </c>
      <c r="B38" t="s">
        <v>64</v>
      </c>
      <c r="C38" t="s">
        <v>17</v>
      </c>
      <c r="D38" t="s">
        <v>18</v>
      </c>
      <c r="E38" t="s">
        <v>13</v>
      </c>
      <c r="F38">
        <v>1403710</v>
      </c>
      <c r="G38" t="s">
        <v>20</v>
      </c>
      <c r="H38" t="s">
        <v>15</v>
      </c>
      <c r="I38">
        <f t="shared" si="0"/>
        <v>40</v>
      </c>
      <c r="J38" s="1">
        <f t="shared" si="1"/>
        <v>30</v>
      </c>
    </row>
    <row r="39" spans="1:10">
      <c r="A39">
        <v>1038</v>
      </c>
      <c r="B39" t="s">
        <v>65</v>
      </c>
      <c r="C39" t="s">
        <v>54</v>
      </c>
      <c r="D39" t="s">
        <v>18</v>
      </c>
      <c r="E39" t="s">
        <v>34</v>
      </c>
      <c r="F39">
        <v>1395620</v>
      </c>
      <c r="G39" t="s">
        <v>20</v>
      </c>
      <c r="H39" t="s">
        <v>15</v>
      </c>
      <c r="I39">
        <f t="shared" si="0"/>
        <v>40</v>
      </c>
      <c r="J39" s="1">
        <f t="shared" si="1"/>
        <v>30</v>
      </c>
    </row>
    <row r="40" spans="1:10">
      <c r="A40">
        <v>1039</v>
      </c>
      <c r="B40" t="s">
        <v>66</v>
      </c>
      <c r="C40" t="s">
        <v>23</v>
      </c>
      <c r="D40" t="s">
        <v>24</v>
      </c>
      <c r="E40" t="s">
        <v>13</v>
      </c>
      <c r="F40">
        <v>1606657</v>
      </c>
      <c r="G40" t="s">
        <v>20</v>
      </c>
      <c r="H40" t="s">
        <v>21</v>
      </c>
      <c r="I40">
        <f t="shared" si="0"/>
        <v>40</v>
      </c>
      <c r="J40" s="1">
        <f t="shared" si="1"/>
        <v>20</v>
      </c>
    </row>
    <row r="41" spans="1:10">
      <c r="A41">
        <v>1040</v>
      </c>
      <c r="B41" t="s">
        <v>67</v>
      </c>
      <c r="C41" t="s">
        <v>17</v>
      </c>
      <c r="D41" t="s">
        <v>18</v>
      </c>
      <c r="E41" t="s">
        <v>30</v>
      </c>
      <c r="F41">
        <v>1870996</v>
      </c>
      <c r="G41" t="s">
        <v>20</v>
      </c>
      <c r="H41" t="s">
        <v>21</v>
      </c>
      <c r="I41">
        <f t="shared" si="0"/>
        <v>40</v>
      </c>
      <c r="J41" s="1">
        <f t="shared" si="1"/>
        <v>30</v>
      </c>
    </row>
    <row r="42" spans="1:10">
      <c r="A42">
        <v>1041</v>
      </c>
      <c r="B42" t="s">
        <v>68</v>
      </c>
      <c r="C42" t="s">
        <v>23</v>
      </c>
      <c r="D42" t="s">
        <v>24</v>
      </c>
      <c r="E42" t="s">
        <v>34</v>
      </c>
      <c r="F42">
        <v>336749</v>
      </c>
      <c r="G42" t="s">
        <v>20</v>
      </c>
      <c r="H42" t="s">
        <v>21</v>
      </c>
      <c r="I42">
        <f t="shared" si="0"/>
        <v>40</v>
      </c>
      <c r="J42" s="1">
        <f t="shared" si="1"/>
        <v>20</v>
      </c>
    </row>
    <row r="43" spans="1:10">
      <c r="A43">
        <v>1042</v>
      </c>
      <c r="B43" t="s">
        <v>69</v>
      </c>
      <c r="C43" t="s">
        <v>23</v>
      </c>
      <c r="D43" t="s">
        <v>24</v>
      </c>
      <c r="E43" t="s">
        <v>13</v>
      </c>
      <c r="F43">
        <v>749984</v>
      </c>
      <c r="G43" t="s">
        <v>20</v>
      </c>
      <c r="H43" t="s">
        <v>15</v>
      </c>
      <c r="I43">
        <f t="shared" si="0"/>
        <v>40</v>
      </c>
      <c r="J43" s="1">
        <f t="shared" si="1"/>
        <v>20</v>
      </c>
    </row>
    <row r="44" spans="1:10">
      <c r="A44">
        <v>1043</v>
      </c>
      <c r="B44" t="s">
        <v>70</v>
      </c>
      <c r="C44" t="s">
        <v>17</v>
      </c>
      <c r="D44" t="s">
        <v>18</v>
      </c>
      <c r="E44" t="s">
        <v>13</v>
      </c>
      <c r="F44">
        <v>1693893</v>
      </c>
      <c r="G44" t="s">
        <v>14</v>
      </c>
      <c r="H44" t="s">
        <v>21</v>
      </c>
      <c r="I44">
        <f t="shared" si="0"/>
        <v>20</v>
      </c>
      <c r="J44" s="1">
        <f t="shared" si="1"/>
        <v>30</v>
      </c>
    </row>
    <row r="45" spans="1:10">
      <c r="A45">
        <v>1044</v>
      </c>
      <c r="B45" t="s">
        <v>71</v>
      </c>
      <c r="C45" t="s">
        <v>54</v>
      </c>
      <c r="D45" t="s">
        <v>18</v>
      </c>
      <c r="E45" t="s">
        <v>34</v>
      </c>
      <c r="F45">
        <v>967524</v>
      </c>
      <c r="G45" t="s">
        <v>20</v>
      </c>
      <c r="H45" t="s">
        <v>15</v>
      </c>
      <c r="I45">
        <f t="shared" si="0"/>
        <v>40</v>
      </c>
      <c r="J45" s="1">
        <f t="shared" si="1"/>
        <v>30</v>
      </c>
    </row>
    <row r="46" spans="1:10">
      <c r="A46">
        <v>1045</v>
      </c>
      <c r="B46" t="s">
        <v>72</v>
      </c>
      <c r="C46" t="s">
        <v>11</v>
      </c>
      <c r="D46" t="s">
        <v>12</v>
      </c>
      <c r="E46" t="s">
        <v>30</v>
      </c>
      <c r="F46">
        <v>688027</v>
      </c>
      <c r="G46" t="s">
        <v>14</v>
      </c>
      <c r="H46" t="s">
        <v>21</v>
      </c>
      <c r="I46">
        <f t="shared" si="0"/>
        <v>10</v>
      </c>
      <c r="J46" s="1">
        <f t="shared" si="1"/>
        <v>10</v>
      </c>
    </row>
    <row r="47" spans="1:10">
      <c r="A47">
        <v>1046</v>
      </c>
      <c r="B47" t="s">
        <v>73</v>
      </c>
      <c r="C47" t="s">
        <v>17</v>
      </c>
      <c r="D47" t="s">
        <v>18</v>
      </c>
      <c r="E47" t="s">
        <v>25</v>
      </c>
      <c r="F47">
        <v>811611</v>
      </c>
      <c r="G47" t="s">
        <v>14</v>
      </c>
      <c r="H47" t="s">
        <v>15</v>
      </c>
      <c r="I47">
        <f t="shared" si="0"/>
        <v>10</v>
      </c>
      <c r="J47" s="1">
        <f t="shared" si="1"/>
        <v>30</v>
      </c>
    </row>
    <row r="48" spans="1:10">
      <c r="A48">
        <v>1047</v>
      </c>
      <c r="B48" t="s">
        <v>74</v>
      </c>
      <c r="C48" t="s">
        <v>39</v>
      </c>
      <c r="D48" t="s">
        <v>12</v>
      </c>
      <c r="E48" t="s">
        <v>13</v>
      </c>
      <c r="F48">
        <v>1388898</v>
      </c>
      <c r="G48" t="s">
        <v>14</v>
      </c>
      <c r="H48" t="s">
        <v>15</v>
      </c>
      <c r="I48">
        <f t="shared" si="0"/>
        <v>20</v>
      </c>
      <c r="J48" s="1">
        <f t="shared" si="1"/>
        <v>10</v>
      </c>
    </row>
    <row r="49" spans="1:10">
      <c r="A49">
        <v>1048</v>
      </c>
      <c r="B49" t="s">
        <v>75</v>
      </c>
      <c r="C49" t="s">
        <v>39</v>
      </c>
      <c r="D49" t="s">
        <v>12</v>
      </c>
      <c r="E49" t="s">
        <v>34</v>
      </c>
      <c r="F49">
        <v>1882240</v>
      </c>
      <c r="G49" t="s">
        <v>20</v>
      </c>
      <c r="H49" t="s">
        <v>15</v>
      </c>
      <c r="I49">
        <f t="shared" si="0"/>
        <v>40</v>
      </c>
      <c r="J49" s="1">
        <f t="shared" si="1"/>
        <v>10</v>
      </c>
    </row>
    <row r="50" spans="1:10">
      <c r="A50">
        <v>1049</v>
      </c>
      <c r="B50" t="s">
        <v>76</v>
      </c>
      <c r="C50" t="s">
        <v>54</v>
      </c>
      <c r="D50" t="s">
        <v>18</v>
      </c>
      <c r="E50" t="s">
        <v>13</v>
      </c>
      <c r="F50">
        <v>936125</v>
      </c>
      <c r="G50" t="s">
        <v>14</v>
      </c>
      <c r="H50" t="s">
        <v>15</v>
      </c>
      <c r="I50">
        <f t="shared" si="0"/>
        <v>10</v>
      </c>
      <c r="J50" s="1">
        <f t="shared" si="1"/>
        <v>30</v>
      </c>
    </row>
    <row r="51" spans="1:10">
      <c r="A51">
        <v>1050</v>
      </c>
      <c r="B51" t="s">
        <v>77</v>
      </c>
      <c r="C51" t="s">
        <v>27</v>
      </c>
      <c r="D51" t="s">
        <v>12</v>
      </c>
      <c r="E51" t="s">
        <v>13</v>
      </c>
      <c r="F51">
        <v>605450</v>
      </c>
      <c r="G51" t="s">
        <v>20</v>
      </c>
      <c r="H51" t="s">
        <v>21</v>
      </c>
      <c r="I51">
        <f t="shared" si="0"/>
        <v>40</v>
      </c>
      <c r="J51" s="1">
        <f t="shared" si="1"/>
        <v>10</v>
      </c>
    </row>
    <row r="52" spans="1:10">
      <c r="A52">
        <v>1051</v>
      </c>
      <c r="B52" t="s">
        <v>78</v>
      </c>
      <c r="C52" t="s">
        <v>27</v>
      </c>
      <c r="D52" t="s">
        <v>12</v>
      </c>
      <c r="E52" t="s">
        <v>19</v>
      </c>
      <c r="F52">
        <v>699535</v>
      </c>
      <c r="G52" t="s">
        <v>20</v>
      </c>
      <c r="H52" t="s">
        <v>15</v>
      </c>
      <c r="I52">
        <f t="shared" si="0"/>
        <v>40</v>
      </c>
      <c r="J52" s="1">
        <f t="shared" si="1"/>
        <v>10</v>
      </c>
    </row>
    <row r="53" spans="1:10">
      <c r="A53">
        <v>1052</v>
      </c>
      <c r="B53" t="s">
        <v>79</v>
      </c>
      <c r="C53" t="s">
        <v>27</v>
      </c>
      <c r="D53" t="s">
        <v>12</v>
      </c>
      <c r="E53" t="s">
        <v>25</v>
      </c>
      <c r="F53">
        <v>1467551</v>
      </c>
      <c r="G53" t="s">
        <v>20</v>
      </c>
      <c r="H53" t="s">
        <v>21</v>
      </c>
      <c r="I53">
        <f t="shared" si="0"/>
        <v>40</v>
      </c>
      <c r="J53" s="1">
        <f t="shared" si="1"/>
        <v>10</v>
      </c>
    </row>
    <row r="54" spans="1:10">
      <c r="A54">
        <v>1053</v>
      </c>
      <c r="B54" t="s">
        <v>80</v>
      </c>
      <c r="C54" t="s">
        <v>54</v>
      </c>
      <c r="D54" t="s">
        <v>18</v>
      </c>
      <c r="E54" t="s">
        <v>19</v>
      </c>
      <c r="F54">
        <v>773979</v>
      </c>
      <c r="G54" t="s">
        <v>20</v>
      </c>
      <c r="H54" t="s">
        <v>21</v>
      </c>
      <c r="I54">
        <f t="shared" si="0"/>
        <v>40</v>
      </c>
      <c r="J54" s="1">
        <f t="shared" si="1"/>
        <v>30</v>
      </c>
    </row>
    <row r="55" spans="1:10">
      <c r="A55">
        <v>1054</v>
      </c>
      <c r="B55" t="s">
        <v>81</v>
      </c>
      <c r="C55" t="s">
        <v>54</v>
      </c>
      <c r="D55" t="s">
        <v>18</v>
      </c>
      <c r="E55" t="s">
        <v>13</v>
      </c>
      <c r="F55">
        <v>1876609</v>
      </c>
      <c r="G55" t="s">
        <v>14</v>
      </c>
      <c r="H55" t="s">
        <v>21</v>
      </c>
      <c r="I55">
        <f t="shared" si="0"/>
        <v>20</v>
      </c>
      <c r="J55" s="1">
        <f t="shared" si="1"/>
        <v>30</v>
      </c>
    </row>
    <row r="56" spans="1:10">
      <c r="A56">
        <v>1055</v>
      </c>
      <c r="B56" t="s">
        <v>82</v>
      </c>
      <c r="C56" t="s">
        <v>27</v>
      </c>
      <c r="D56" t="s">
        <v>12</v>
      </c>
      <c r="E56" t="s">
        <v>25</v>
      </c>
      <c r="F56">
        <v>1532370</v>
      </c>
      <c r="G56" t="s">
        <v>20</v>
      </c>
      <c r="H56" t="s">
        <v>15</v>
      </c>
      <c r="I56">
        <f t="shared" si="0"/>
        <v>40</v>
      </c>
      <c r="J56" s="1">
        <f t="shared" si="1"/>
        <v>10</v>
      </c>
    </row>
    <row r="57" spans="1:10">
      <c r="A57">
        <v>1056</v>
      </c>
      <c r="B57" t="s">
        <v>83</v>
      </c>
      <c r="C57" t="s">
        <v>54</v>
      </c>
      <c r="D57" t="s">
        <v>18</v>
      </c>
      <c r="E57" t="s">
        <v>25</v>
      </c>
      <c r="F57">
        <v>1823759</v>
      </c>
      <c r="G57" t="s">
        <v>14</v>
      </c>
      <c r="H57" t="s">
        <v>21</v>
      </c>
      <c r="I57">
        <f t="shared" si="0"/>
        <v>20</v>
      </c>
      <c r="J57" s="1">
        <f t="shared" si="1"/>
        <v>30</v>
      </c>
    </row>
    <row r="58" spans="1:10">
      <c r="A58">
        <v>1057</v>
      </c>
      <c r="B58" t="s">
        <v>84</v>
      </c>
      <c r="C58" t="s">
        <v>17</v>
      </c>
      <c r="D58" t="s">
        <v>18</v>
      </c>
      <c r="E58" t="s">
        <v>19</v>
      </c>
      <c r="F58">
        <v>1907451</v>
      </c>
      <c r="G58" t="s">
        <v>14</v>
      </c>
      <c r="H58" t="s">
        <v>15</v>
      </c>
      <c r="I58">
        <f t="shared" si="0"/>
        <v>20</v>
      </c>
      <c r="J58" s="1">
        <f t="shared" si="1"/>
        <v>30</v>
      </c>
    </row>
    <row r="59" spans="1:10">
      <c r="A59">
        <v>1058</v>
      </c>
      <c r="B59" t="s">
        <v>85</v>
      </c>
      <c r="C59" t="s">
        <v>27</v>
      </c>
      <c r="D59" t="s">
        <v>12</v>
      </c>
      <c r="E59" t="s">
        <v>34</v>
      </c>
      <c r="F59">
        <v>319079</v>
      </c>
      <c r="G59" t="s">
        <v>20</v>
      </c>
      <c r="H59" t="s">
        <v>21</v>
      </c>
      <c r="I59">
        <f t="shared" si="0"/>
        <v>40</v>
      </c>
      <c r="J59" s="1">
        <f t="shared" si="1"/>
        <v>10</v>
      </c>
    </row>
    <row r="60" spans="1:10">
      <c r="A60">
        <v>1059</v>
      </c>
      <c r="B60" t="s">
        <v>86</v>
      </c>
      <c r="C60" t="s">
        <v>17</v>
      </c>
      <c r="D60" t="s">
        <v>18</v>
      </c>
      <c r="E60" t="s">
        <v>25</v>
      </c>
      <c r="F60">
        <v>301406</v>
      </c>
      <c r="G60" t="s">
        <v>20</v>
      </c>
      <c r="H60" t="s">
        <v>15</v>
      </c>
      <c r="I60">
        <f t="shared" si="0"/>
        <v>40</v>
      </c>
      <c r="J60" s="1">
        <f t="shared" si="1"/>
        <v>30</v>
      </c>
    </row>
    <row r="61" spans="1:10">
      <c r="A61">
        <v>1060</v>
      </c>
      <c r="B61" t="s">
        <v>87</v>
      </c>
      <c r="C61" t="s">
        <v>39</v>
      </c>
      <c r="D61" t="s">
        <v>12</v>
      </c>
      <c r="E61" t="s">
        <v>13</v>
      </c>
      <c r="F61">
        <v>1578674</v>
      </c>
      <c r="G61" t="s">
        <v>14</v>
      </c>
      <c r="H61" t="s">
        <v>15</v>
      </c>
      <c r="I61">
        <f t="shared" si="0"/>
        <v>20</v>
      </c>
      <c r="J61" s="1">
        <f t="shared" si="1"/>
        <v>10</v>
      </c>
    </row>
    <row r="62" spans="1:10">
      <c r="A62">
        <v>1061</v>
      </c>
      <c r="B62" t="s">
        <v>88</v>
      </c>
      <c r="C62" t="s">
        <v>11</v>
      </c>
      <c r="D62" t="s">
        <v>12</v>
      </c>
      <c r="E62" t="s">
        <v>34</v>
      </c>
      <c r="F62">
        <v>1128731</v>
      </c>
      <c r="G62" t="s">
        <v>14</v>
      </c>
      <c r="H62" t="s">
        <v>21</v>
      </c>
      <c r="I62">
        <f t="shared" si="0"/>
        <v>20</v>
      </c>
      <c r="J62" s="1">
        <f t="shared" si="1"/>
        <v>10</v>
      </c>
    </row>
    <row r="63" spans="1:10">
      <c r="A63">
        <v>1062</v>
      </c>
      <c r="B63" t="s">
        <v>89</v>
      </c>
      <c r="C63" t="s">
        <v>17</v>
      </c>
      <c r="D63" t="s">
        <v>18</v>
      </c>
      <c r="E63" t="s">
        <v>13</v>
      </c>
      <c r="F63">
        <v>1099676</v>
      </c>
      <c r="G63" t="s">
        <v>14</v>
      </c>
      <c r="H63" t="s">
        <v>15</v>
      </c>
      <c r="I63">
        <f t="shared" si="0"/>
        <v>20</v>
      </c>
      <c r="J63" s="1">
        <f t="shared" si="1"/>
        <v>30</v>
      </c>
    </row>
    <row r="64" spans="1:10">
      <c r="A64">
        <v>1063</v>
      </c>
      <c r="B64" t="s">
        <v>90</v>
      </c>
      <c r="C64" t="s">
        <v>11</v>
      </c>
      <c r="D64" t="s">
        <v>12</v>
      </c>
      <c r="E64" t="s">
        <v>30</v>
      </c>
      <c r="F64">
        <v>1770107</v>
      </c>
      <c r="G64" t="s">
        <v>14</v>
      </c>
      <c r="H64" t="s">
        <v>21</v>
      </c>
      <c r="I64">
        <f t="shared" si="0"/>
        <v>20</v>
      </c>
      <c r="J64" s="1">
        <f t="shared" si="1"/>
        <v>10</v>
      </c>
    </row>
    <row r="65" spans="1:10">
      <c r="A65">
        <v>1064</v>
      </c>
      <c r="B65" t="s">
        <v>91</v>
      </c>
      <c r="C65" t="s">
        <v>23</v>
      </c>
      <c r="D65" t="s">
        <v>24</v>
      </c>
      <c r="E65" t="s">
        <v>19</v>
      </c>
      <c r="F65">
        <v>1822772</v>
      </c>
      <c r="G65" t="s">
        <v>14</v>
      </c>
      <c r="H65" t="s">
        <v>15</v>
      </c>
      <c r="I65">
        <f t="shared" si="0"/>
        <v>20</v>
      </c>
      <c r="J65" s="1">
        <f t="shared" si="1"/>
        <v>20</v>
      </c>
    </row>
    <row r="66" spans="1:10">
      <c r="A66">
        <v>1065</v>
      </c>
      <c r="B66" t="s">
        <v>92</v>
      </c>
      <c r="C66" t="s">
        <v>39</v>
      </c>
      <c r="D66" t="s">
        <v>12</v>
      </c>
      <c r="E66" t="s">
        <v>34</v>
      </c>
      <c r="F66">
        <v>1419387</v>
      </c>
      <c r="G66" t="s">
        <v>20</v>
      </c>
      <c r="H66" t="s">
        <v>15</v>
      </c>
      <c r="I66">
        <f t="shared" si="0"/>
        <v>40</v>
      </c>
      <c r="J66" s="1">
        <f t="shared" si="1"/>
        <v>10</v>
      </c>
    </row>
    <row r="67" spans="1:10">
      <c r="A67">
        <v>1066</v>
      </c>
      <c r="B67" t="s">
        <v>93</v>
      </c>
      <c r="C67" t="s">
        <v>54</v>
      </c>
      <c r="D67" t="s">
        <v>18</v>
      </c>
      <c r="E67" t="s">
        <v>30</v>
      </c>
      <c r="F67">
        <v>1272714</v>
      </c>
      <c r="G67" t="s">
        <v>20</v>
      </c>
      <c r="H67" t="s">
        <v>15</v>
      </c>
      <c r="I67">
        <f t="shared" ref="I67:I130" si="2">IF(TRIM(LOWER(G67))="yes",40,IF(VALUE(F67)&gt;1000000,20,10))</f>
        <v>40</v>
      </c>
      <c r="J67" s="1">
        <f t="shared" ref="J67:J130" si="3">IF(OR(C67="UAE",C67="Nigeria"),30,IF(C67="USA",20,10))</f>
        <v>30</v>
      </c>
    </row>
    <row r="68" spans="1:10">
      <c r="A68">
        <v>1067</v>
      </c>
      <c r="B68" t="s">
        <v>94</v>
      </c>
      <c r="C68" t="s">
        <v>23</v>
      </c>
      <c r="D68" t="s">
        <v>24</v>
      </c>
      <c r="E68" t="s">
        <v>19</v>
      </c>
      <c r="F68">
        <v>855440</v>
      </c>
      <c r="G68" t="s">
        <v>20</v>
      </c>
      <c r="H68" t="s">
        <v>15</v>
      </c>
      <c r="I68">
        <f t="shared" si="2"/>
        <v>40</v>
      </c>
      <c r="J68" s="1">
        <f t="shared" si="3"/>
        <v>20</v>
      </c>
    </row>
    <row r="69" spans="1:10">
      <c r="A69">
        <v>1068</v>
      </c>
      <c r="B69" t="s">
        <v>95</v>
      </c>
      <c r="C69" t="s">
        <v>11</v>
      </c>
      <c r="D69" t="s">
        <v>12</v>
      </c>
      <c r="E69" t="s">
        <v>13</v>
      </c>
      <c r="F69">
        <v>824538</v>
      </c>
      <c r="G69" t="s">
        <v>14</v>
      </c>
      <c r="H69" t="s">
        <v>15</v>
      </c>
      <c r="I69">
        <f t="shared" si="2"/>
        <v>10</v>
      </c>
      <c r="J69" s="1">
        <f t="shared" si="3"/>
        <v>10</v>
      </c>
    </row>
    <row r="70" spans="1:10">
      <c r="A70">
        <v>1069</v>
      </c>
      <c r="B70" t="s">
        <v>96</v>
      </c>
      <c r="C70" t="s">
        <v>23</v>
      </c>
      <c r="D70" t="s">
        <v>24</v>
      </c>
      <c r="E70" t="s">
        <v>25</v>
      </c>
      <c r="F70">
        <v>1104656</v>
      </c>
      <c r="G70" t="s">
        <v>14</v>
      </c>
      <c r="H70" t="s">
        <v>21</v>
      </c>
      <c r="I70">
        <f t="shared" si="2"/>
        <v>20</v>
      </c>
      <c r="J70" s="1">
        <f t="shared" si="3"/>
        <v>20</v>
      </c>
    </row>
    <row r="71" spans="1:10">
      <c r="A71">
        <v>1070</v>
      </c>
      <c r="B71" t="s">
        <v>97</v>
      </c>
      <c r="C71" t="s">
        <v>11</v>
      </c>
      <c r="D71" t="s">
        <v>12</v>
      </c>
      <c r="E71" t="s">
        <v>34</v>
      </c>
      <c r="F71">
        <v>1855660</v>
      </c>
      <c r="G71" t="s">
        <v>20</v>
      </c>
      <c r="H71" t="s">
        <v>15</v>
      </c>
      <c r="I71">
        <f t="shared" si="2"/>
        <v>40</v>
      </c>
      <c r="J71" s="1">
        <f t="shared" si="3"/>
        <v>10</v>
      </c>
    </row>
    <row r="72" spans="1:10">
      <c r="A72">
        <v>1071</v>
      </c>
      <c r="B72" t="s">
        <v>98</v>
      </c>
      <c r="C72" t="s">
        <v>11</v>
      </c>
      <c r="D72" t="s">
        <v>12</v>
      </c>
      <c r="E72" t="s">
        <v>25</v>
      </c>
      <c r="F72">
        <v>1615036</v>
      </c>
      <c r="G72" t="s">
        <v>20</v>
      </c>
      <c r="H72" t="s">
        <v>21</v>
      </c>
      <c r="I72">
        <f t="shared" si="2"/>
        <v>40</v>
      </c>
      <c r="J72" s="1">
        <f t="shared" si="3"/>
        <v>10</v>
      </c>
    </row>
    <row r="73" spans="1:10">
      <c r="A73">
        <v>1072</v>
      </c>
      <c r="B73" t="s">
        <v>99</v>
      </c>
      <c r="C73" t="s">
        <v>27</v>
      </c>
      <c r="D73" t="s">
        <v>12</v>
      </c>
      <c r="E73" t="s">
        <v>34</v>
      </c>
      <c r="F73">
        <v>1098557</v>
      </c>
      <c r="G73" t="s">
        <v>20</v>
      </c>
      <c r="H73" t="s">
        <v>15</v>
      </c>
      <c r="I73">
        <f t="shared" si="2"/>
        <v>40</v>
      </c>
      <c r="J73" s="1">
        <f t="shared" si="3"/>
        <v>10</v>
      </c>
    </row>
    <row r="74" spans="1:10">
      <c r="A74">
        <v>1073</v>
      </c>
      <c r="B74" t="s">
        <v>100</v>
      </c>
      <c r="C74" t="s">
        <v>27</v>
      </c>
      <c r="D74" t="s">
        <v>12</v>
      </c>
      <c r="E74" t="s">
        <v>19</v>
      </c>
      <c r="F74">
        <v>1666098</v>
      </c>
      <c r="G74" t="s">
        <v>20</v>
      </c>
      <c r="H74" t="s">
        <v>15</v>
      </c>
      <c r="I74">
        <f t="shared" si="2"/>
        <v>40</v>
      </c>
      <c r="J74" s="1">
        <f t="shared" si="3"/>
        <v>10</v>
      </c>
    </row>
    <row r="75" spans="1:10">
      <c r="A75">
        <v>1074</v>
      </c>
      <c r="B75" t="s">
        <v>101</v>
      </c>
      <c r="C75" t="s">
        <v>54</v>
      </c>
      <c r="D75" t="s">
        <v>18</v>
      </c>
      <c r="E75" t="s">
        <v>25</v>
      </c>
      <c r="F75">
        <v>729066</v>
      </c>
      <c r="G75" t="s">
        <v>14</v>
      </c>
      <c r="H75" t="s">
        <v>15</v>
      </c>
      <c r="I75">
        <f t="shared" si="2"/>
        <v>10</v>
      </c>
      <c r="J75" s="1">
        <f t="shared" si="3"/>
        <v>30</v>
      </c>
    </row>
    <row r="76" spans="1:10">
      <c r="A76">
        <v>1075</v>
      </c>
      <c r="B76" t="s">
        <v>102</v>
      </c>
      <c r="C76" t="s">
        <v>11</v>
      </c>
      <c r="D76" t="s">
        <v>12</v>
      </c>
      <c r="E76" t="s">
        <v>34</v>
      </c>
      <c r="F76">
        <v>1141867</v>
      </c>
      <c r="G76" t="s">
        <v>14</v>
      </c>
      <c r="H76" t="s">
        <v>15</v>
      </c>
      <c r="I76">
        <f t="shared" si="2"/>
        <v>20</v>
      </c>
      <c r="J76" s="1">
        <f t="shared" si="3"/>
        <v>10</v>
      </c>
    </row>
    <row r="77" spans="1:10">
      <c r="A77">
        <v>1076</v>
      </c>
      <c r="B77" t="s">
        <v>103</v>
      </c>
      <c r="C77" t="s">
        <v>27</v>
      </c>
      <c r="D77" t="s">
        <v>12</v>
      </c>
      <c r="E77" t="s">
        <v>19</v>
      </c>
      <c r="F77">
        <v>752224</v>
      </c>
      <c r="G77" t="s">
        <v>14</v>
      </c>
      <c r="H77" t="s">
        <v>21</v>
      </c>
      <c r="I77">
        <f t="shared" si="2"/>
        <v>10</v>
      </c>
      <c r="J77" s="1">
        <f t="shared" si="3"/>
        <v>10</v>
      </c>
    </row>
    <row r="78" spans="1:10">
      <c r="A78">
        <v>1077</v>
      </c>
      <c r="B78" t="s">
        <v>104</v>
      </c>
      <c r="C78" t="s">
        <v>23</v>
      </c>
      <c r="D78" t="s">
        <v>24</v>
      </c>
      <c r="E78" t="s">
        <v>13</v>
      </c>
      <c r="F78">
        <v>372473</v>
      </c>
      <c r="G78" t="s">
        <v>20</v>
      </c>
      <c r="H78" t="s">
        <v>15</v>
      </c>
      <c r="I78">
        <f t="shared" si="2"/>
        <v>40</v>
      </c>
      <c r="J78" s="1">
        <f t="shared" si="3"/>
        <v>20</v>
      </c>
    </row>
    <row r="79" spans="1:10">
      <c r="A79">
        <v>1078</v>
      </c>
      <c r="B79" t="s">
        <v>105</v>
      </c>
      <c r="C79" t="s">
        <v>39</v>
      </c>
      <c r="D79" t="s">
        <v>12</v>
      </c>
      <c r="E79" t="s">
        <v>25</v>
      </c>
      <c r="F79">
        <v>1598303</v>
      </c>
      <c r="G79" t="s">
        <v>20</v>
      </c>
      <c r="H79" t="s">
        <v>21</v>
      </c>
      <c r="I79">
        <f t="shared" si="2"/>
        <v>40</v>
      </c>
      <c r="J79" s="1">
        <f t="shared" si="3"/>
        <v>10</v>
      </c>
    </row>
    <row r="80" spans="1:10">
      <c r="A80">
        <v>1079</v>
      </c>
      <c r="B80" t="s">
        <v>106</v>
      </c>
      <c r="C80" t="s">
        <v>54</v>
      </c>
      <c r="D80" t="s">
        <v>18</v>
      </c>
      <c r="E80" t="s">
        <v>25</v>
      </c>
      <c r="F80">
        <v>1943672</v>
      </c>
      <c r="G80" t="s">
        <v>20</v>
      </c>
      <c r="H80" t="s">
        <v>15</v>
      </c>
      <c r="I80">
        <f t="shared" si="2"/>
        <v>40</v>
      </c>
      <c r="J80" s="1">
        <f t="shared" si="3"/>
        <v>30</v>
      </c>
    </row>
    <row r="81" spans="1:10">
      <c r="A81">
        <v>1080</v>
      </c>
      <c r="B81" t="s">
        <v>107</v>
      </c>
      <c r="C81" t="s">
        <v>17</v>
      </c>
      <c r="D81" t="s">
        <v>18</v>
      </c>
      <c r="E81" t="s">
        <v>30</v>
      </c>
      <c r="F81">
        <v>1642174</v>
      </c>
      <c r="G81" t="s">
        <v>20</v>
      </c>
      <c r="H81" t="s">
        <v>15</v>
      </c>
      <c r="I81">
        <f t="shared" si="2"/>
        <v>40</v>
      </c>
      <c r="J81" s="1">
        <f t="shared" si="3"/>
        <v>30</v>
      </c>
    </row>
    <row r="82" spans="1:10">
      <c r="A82">
        <v>1081</v>
      </c>
      <c r="B82" t="s">
        <v>108</v>
      </c>
      <c r="C82" t="s">
        <v>23</v>
      </c>
      <c r="D82" t="s">
        <v>24</v>
      </c>
      <c r="E82" t="s">
        <v>13</v>
      </c>
      <c r="F82">
        <v>1858066</v>
      </c>
      <c r="G82" t="s">
        <v>20</v>
      </c>
      <c r="H82" t="s">
        <v>21</v>
      </c>
      <c r="I82">
        <f t="shared" si="2"/>
        <v>40</v>
      </c>
      <c r="J82" s="1">
        <f t="shared" si="3"/>
        <v>20</v>
      </c>
    </row>
    <row r="83" spans="1:10">
      <c r="A83">
        <v>1082</v>
      </c>
      <c r="B83" t="s">
        <v>109</v>
      </c>
      <c r="C83" t="s">
        <v>17</v>
      </c>
      <c r="D83" t="s">
        <v>18</v>
      </c>
      <c r="E83" t="s">
        <v>25</v>
      </c>
      <c r="F83">
        <v>528468</v>
      </c>
      <c r="G83" t="s">
        <v>14</v>
      </c>
      <c r="H83" t="s">
        <v>15</v>
      </c>
      <c r="I83">
        <f t="shared" si="2"/>
        <v>10</v>
      </c>
      <c r="J83" s="1">
        <f t="shared" si="3"/>
        <v>30</v>
      </c>
    </row>
    <row r="84" spans="1:10">
      <c r="A84">
        <v>1083</v>
      </c>
      <c r="B84" t="s">
        <v>110</v>
      </c>
      <c r="C84" t="s">
        <v>39</v>
      </c>
      <c r="D84" t="s">
        <v>12</v>
      </c>
      <c r="E84" t="s">
        <v>13</v>
      </c>
      <c r="F84">
        <v>1726979</v>
      </c>
      <c r="G84" t="s">
        <v>20</v>
      </c>
      <c r="H84" t="s">
        <v>15</v>
      </c>
      <c r="I84">
        <f t="shared" si="2"/>
        <v>40</v>
      </c>
      <c r="J84" s="1">
        <f t="shared" si="3"/>
        <v>10</v>
      </c>
    </row>
    <row r="85" spans="1:10">
      <c r="A85">
        <v>1084</v>
      </c>
      <c r="B85" t="s">
        <v>111</v>
      </c>
      <c r="C85" t="s">
        <v>23</v>
      </c>
      <c r="D85" t="s">
        <v>24</v>
      </c>
      <c r="E85" t="s">
        <v>13</v>
      </c>
      <c r="F85">
        <v>1569807</v>
      </c>
      <c r="G85" t="s">
        <v>14</v>
      </c>
      <c r="H85" t="s">
        <v>21</v>
      </c>
      <c r="I85">
        <f t="shared" si="2"/>
        <v>20</v>
      </c>
      <c r="J85" s="1">
        <f t="shared" si="3"/>
        <v>20</v>
      </c>
    </row>
    <row r="86" spans="1:10">
      <c r="A86">
        <v>1085</v>
      </c>
      <c r="B86" t="s">
        <v>112</v>
      </c>
      <c r="C86" t="s">
        <v>39</v>
      </c>
      <c r="D86" t="s">
        <v>12</v>
      </c>
      <c r="E86" t="s">
        <v>19</v>
      </c>
      <c r="F86">
        <v>1842658</v>
      </c>
      <c r="G86" t="s">
        <v>14</v>
      </c>
      <c r="H86" t="s">
        <v>21</v>
      </c>
      <c r="I86">
        <f t="shared" si="2"/>
        <v>20</v>
      </c>
      <c r="J86" s="1">
        <f t="shared" si="3"/>
        <v>10</v>
      </c>
    </row>
    <row r="87" spans="1:10">
      <c r="A87">
        <v>1086</v>
      </c>
      <c r="B87" t="s">
        <v>113</v>
      </c>
      <c r="C87" t="s">
        <v>27</v>
      </c>
      <c r="D87" t="s">
        <v>12</v>
      </c>
      <c r="E87" t="s">
        <v>19</v>
      </c>
      <c r="F87">
        <v>1093612</v>
      </c>
      <c r="G87" t="s">
        <v>14</v>
      </c>
      <c r="H87" t="s">
        <v>21</v>
      </c>
      <c r="I87">
        <f t="shared" si="2"/>
        <v>20</v>
      </c>
      <c r="J87" s="1">
        <f t="shared" si="3"/>
        <v>10</v>
      </c>
    </row>
    <row r="88" spans="1:10">
      <c r="A88">
        <v>1087</v>
      </c>
      <c r="B88" t="s">
        <v>114</v>
      </c>
      <c r="C88" t="s">
        <v>27</v>
      </c>
      <c r="D88" t="s">
        <v>12</v>
      </c>
      <c r="E88" t="s">
        <v>25</v>
      </c>
      <c r="F88">
        <v>556955</v>
      </c>
      <c r="G88" t="s">
        <v>14</v>
      </c>
      <c r="H88" t="s">
        <v>15</v>
      </c>
      <c r="I88">
        <f t="shared" si="2"/>
        <v>10</v>
      </c>
      <c r="J88" s="1">
        <f t="shared" si="3"/>
        <v>10</v>
      </c>
    </row>
    <row r="89" spans="1:10">
      <c r="A89">
        <v>1088</v>
      </c>
      <c r="B89" t="s">
        <v>115</v>
      </c>
      <c r="C89" t="s">
        <v>23</v>
      </c>
      <c r="D89" t="s">
        <v>24</v>
      </c>
      <c r="E89" t="s">
        <v>13</v>
      </c>
      <c r="F89">
        <v>1007364</v>
      </c>
      <c r="G89" t="s">
        <v>14</v>
      </c>
      <c r="H89" t="s">
        <v>21</v>
      </c>
      <c r="I89">
        <f t="shared" si="2"/>
        <v>20</v>
      </c>
      <c r="J89" s="1">
        <f t="shared" si="3"/>
        <v>20</v>
      </c>
    </row>
    <row r="90" spans="1:10">
      <c r="A90">
        <v>1089</v>
      </c>
      <c r="B90" t="s">
        <v>116</v>
      </c>
      <c r="C90" t="s">
        <v>27</v>
      </c>
      <c r="D90" t="s">
        <v>12</v>
      </c>
      <c r="E90" t="s">
        <v>30</v>
      </c>
      <c r="F90">
        <v>549237</v>
      </c>
      <c r="G90" t="s">
        <v>20</v>
      </c>
      <c r="H90" t="s">
        <v>15</v>
      </c>
      <c r="I90">
        <f t="shared" si="2"/>
        <v>40</v>
      </c>
      <c r="J90" s="1">
        <f t="shared" si="3"/>
        <v>10</v>
      </c>
    </row>
    <row r="91" spans="1:10">
      <c r="A91">
        <v>1090</v>
      </c>
      <c r="B91" t="s">
        <v>117</v>
      </c>
      <c r="C91" t="s">
        <v>23</v>
      </c>
      <c r="D91" t="s">
        <v>24</v>
      </c>
      <c r="E91" t="s">
        <v>19</v>
      </c>
      <c r="F91">
        <v>759281</v>
      </c>
      <c r="G91" t="s">
        <v>20</v>
      </c>
      <c r="H91" t="s">
        <v>15</v>
      </c>
      <c r="I91">
        <f t="shared" si="2"/>
        <v>40</v>
      </c>
      <c r="J91" s="1">
        <f t="shared" si="3"/>
        <v>20</v>
      </c>
    </row>
    <row r="92" spans="1:10">
      <c r="A92">
        <v>1091</v>
      </c>
      <c r="B92" t="s">
        <v>118</v>
      </c>
      <c r="C92" t="s">
        <v>27</v>
      </c>
      <c r="D92" t="s">
        <v>12</v>
      </c>
      <c r="E92" t="s">
        <v>25</v>
      </c>
      <c r="F92">
        <v>343637</v>
      </c>
      <c r="G92" t="s">
        <v>20</v>
      </c>
      <c r="H92" t="s">
        <v>21</v>
      </c>
      <c r="I92">
        <f t="shared" si="2"/>
        <v>40</v>
      </c>
      <c r="J92" s="1">
        <f t="shared" si="3"/>
        <v>10</v>
      </c>
    </row>
    <row r="93" spans="1:10">
      <c r="A93">
        <v>1092</v>
      </c>
      <c r="B93" t="s">
        <v>119</v>
      </c>
      <c r="C93" t="s">
        <v>27</v>
      </c>
      <c r="D93" t="s">
        <v>12</v>
      </c>
      <c r="E93" t="s">
        <v>19</v>
      </c>
      <c r="F93">
        <v>1077055</v>
      </c>
      <c r="G93" t="s">
        <v>20</v>
      </c>
      <c r="H93" t="s">
        <v>21</v>
      </c>
      <c r="I93">
        <f t="shared" si="2"/>
        <v>40</v>
      </c>
      <c r="J93" s="1">
        <f t="shared" si="3"/>
        <v>10</v>
      </c>
    </row>
    <row r="94" spans="1:10">
      <c r="A94">
        <v>1093</v>
      </c>
      <c r="B94" t="s">
        <v>120</v>
      </c>
      <c r="C94" t="s">
        <v>23</v>
      </c>
      <c r="D94" t="s">
        <v>24</v>
      </c>
      <c r="E94" t="s">
        <v>13</v>
      </c>
      <c r="F94">
        <v>1591164</v>
      </c>
      <c r="G94" t="s">
        <v>20</v>
      </c>
      <c r="H94" t="s">
        <v>15</v>
      </c>
      <c r="I94">
        <f t="shared" si="2"/>
        <v>40</v>
      </c>
      <c r="J94" s="1">
        <f t="shared" si="3"/>
        <v>20</v>
      </c>
    </row>
    <row r="95" spans="1:10">
      <c r="A95">
        <v>1094</v>
      </c>
      <c r="B95" t="s">
        <v>121</v>
      </c>
      <c r="C95" t="s">
        <v>17</v>
      </c>
      <c r="D95" t="s">
        <v>18</v>
      </c>
      <c r="E95" t="s">
        <v>34</v>
      </c>
      <c r="F95">
        <v>796141</v>
      </c>
      <c r="G95" t="s">
        <v>20</v>
      </c>
      <c r="H95" t="s">
        <v>15</v>
      </c>
      <c r="I95">
        <f t="shared" si="2"/>
        <v>40</v>
      </c>
      <c r="J95" s="1">
        <f t="shared" si="3"/>
        <v>30</v>
      </c>
    </row>
    <row r="96" spans="1:10">
      <c r="A96">
        <v>1095</v>
      </c>
      <c r="B96" t="s">
        <v>122</v>
      </c>
      <c r="C96" t="s">
        <v>23</v>
      </c>
      <c r="D96" t="s">
        <v>24</v>
      </c>
      <c r="E96" t="s">
        <v>25</v>
      </c>
      <c r="F96">
        <v>1534381</v>
      </c>
      <c r="G96" t="s">
        <v>14</v>
      </c>
      <c r="H96" t="s">
        <v>21</v>
      </c>
      <c r="I96">
        <f t="shared" si="2"/>
        <v>20</v>
      </c>
      <c r="J96" s="1">
        <f t="shared" si="3"/>
        <v>20</v>
      </c>
    </row>
    <row r="97" spans="1:10">
      <c r="A97">
        <v>1096</v>
      </c>
      <c r="B97" t="s">
        <v>123</v>
      </c>
      <c r="C97" t="s">
        <v>17</v>
      </c>
      <c r="D97" t="s">
        <v>18</v>
      </c>
      <c r="E97" t="s">
        <v>19</v>
      </c>
      <c r="F97">
        <v>1811518</v>
      </c>
      <c r="G97" t="s">
        <v>14</v>
      </c>
      <c r="H97" t="s">
        <v>21</v>
      </c>
      <c r="I97">
        <f t="shared" si="2"/>
        <v>20</v>
      </c>
      <c r="J97" s="1">
        <f t="shared" si="3"/>
        <v>30</v>
      </c>
    </row>
    <row r="98" spans="1:10">
      <c r="A98">
        <v>1097</v>
      </c>
      <c r="B98" t="s">
        <v>124</v>
      </c>
      <c r="C98" t="s">
        <v>27</v>
      </c>
      <c r="D98" t="s">
        <v>12</v>
      </c>
      <c r="E98" t="s">
        <v>13</v>
      </c>
      <c r="F98">
        <v>349761</v>
      </c>
      <c r="G98" t="s">
        <v>14</v>
      </c>
      <c r="H98" t="s">
        <v>15</v>
      </c>
      <c r="I98">
        <f t="shared" si="2"/>
        <v>10</v>
      </c>
      <c r="J98" s="1">
        <f t="shared" si="3"/>
        <v>10</v>
      </c>
    </row>
    <row r="99" spans="1:10">
      <c r="A99">
        <v>1098</v>
      </c>
      <c r="B99" t="s">
        <v>125</v>
      </c>
      <c r="C99" t="s">
        <v>27</v>
      </c>
      <c r="D99" t="s">
        <v>12</v>
      </c>
      <c r="E99" t="s">
        <v>30</v>
      </c>
      <c r="F99">
        <v>334357</v>
      </c>
      <c r="G99" t="s">
        <v>14</v>
      </c>
      <c r="H99" t="s">
        <v>21</v>
      </c>
      <c r="I99">
        <f t="shared" si="2"/>
        <v>10</v>
      </c>
      <c r="J99" s="1">
        <f t="shared" si="3"/>
        <v>10</v>
      </c>
    </row>
    <row r="100" spans="1:10">
      <c r="A100">
        <v>1099</v>
      </c>
      <c r="B100" t="s">
        <v>126</v>
      </c>
      <c r="C100" t="s">
        <v>23</v>
      </c>
      <c r="D100" t="s">
        <v>24</v>
      </c>
      <c r="E100" t="s">
        <v>19</v>
      </c>
      <c r="F100">
        <v>1823017</v>
      </c>
      <c r="G100" t="s">
        <v>20</v>
      </c>
      <c r="H100" t="s">
        <v>21</v>
      </c>
      <c r="I100">
        <f t="shared" si="2"/>
        <v>40</v>
      </c>
      <c r="J100" s="1">
        <f t="shared" si="3"/>
        <v>20</v>
      </c>
    </row>
    <row r="101" spans="1:10">
      <c r="A101">
        <v>1100</v>
      </c>
      <c r="B101" t="s">
        <v>127</v>
      </c>
      <c r="C101" t="s">
        <v>23</v>
      </c>
      <c r="D101" t="s">
        <v>24</v>
      </c>
      <c r="E101" t="s">
        <v>25</v>
      </c>
      <c r="F101">
        <v>1366203</v>
      </c>
      <c r="G101" t="s">
        <v>14</v>
      </c>
      <c r="H101" t="s">
        <v>21</v>
      </c>
      <c r="I101">
        <f t="shared" si="2"/>
        <v>20</v>
      </c>
      <c r="J101" s="1">
        <f t="shared" si="3"/>
        <v>20</v>
      </c>
    </row>
    <row r="102" spans="1:10">
      <c r="A102">
        <v>1101</v>
      </c>
      <c r="B102" t="s">
        <v>128</v>
      </c>
      <c r="C102" t="s">
        <v>23</v>
      </c>
      <c r="D102" t="s">
        <v>24</v>
      </c>
      <c r="E102" t="s">
        <v>19</v>
      </c>
      <c r="F102">
        <v>1407584</v>
      </c>
      <c r="G102" t="s">
        <v>14</v>
      </c>
      <c r="H102" t="s">
        <v>21</v>
      </c>
      <c r="I102">
        <f t="shared" si="2"/>
        <v>20</v>
      </c>
      <c r="J102" s="1">
        <f t="shared" si="3"/>
        <v>20</v>
      </c>
    </row>
    <row r="103" spans="1:10">
      <c r="A103">
        <v>1102</v>
      </c>
      <c r="B103" t="s">
        <v>129</v>
      </c>
      <c r="C103" t="s">
        <v>17</v>
      </c>
      <c r="D103" t="s">
        <v>18</v>
      </c>
      <c r="E103" t="s">
        <v>13</v>
      </c>
      <c r="F103">
        <v>962893</v>
      </c>
      <c r="G103" t="s">
        <v>14</v>
      </c>
      <c r="H103" t="s">
        <v>21</v>
      </c>
      <c r="I103">
        <f t="shared" si="2"/>
        <v>10</v>
      </c>
      <c r="J103" s="1">
        <f t="shared" si="3"/>
        <v>30</v>
      </c>
    </row>
    <row r="104" spans="1:10">
      <c r="A104">
        <v>1103</v>
      </c>
      <c r="B104" t="s">
        <v>130</v>
      </c>
      <c r="C104" t="s">
        <v>54</v>
      </c>
      <c r="D104" t="s">
        <v>18</v>
      </c>
      <c r="E104" t="s">
        <v>19</v>
      </c>
      <c r="F104">
        <v>1467605</v>
      </c>
      <c r="G104" t="s">
        <v>20</v>
      </c>
      <c r="H104" t="s">
        <v>21</v>
      </c>
      <c r="I104">
        <f t="shared" si="2"/>
        <v>40</v>
      </c>
      <c r="J104" s="1">
        <f t="shared" si="3"/>
        <v>30</v>
      </c>
    </row>
    <row r="105" spans="1:10">
      <c r="A105">
        <v>1104</v>
      </c>
      <c r="B105" t="s">
        <v>131</v>
      </c>
      <c r="C105" t="s">
        <v>54</v>
      </c>
      <c r="D105" t="s">
        <v>18</v>
      </c>
      <c r="E105" t="s">
        <v>30</v>
      </c>
      <c r="F105">
        <v>1246316</v>
      </c>
      <c r="G105" t="s">
        <v>14</v>
      </c>
      <c r="H105" t="s">
        <v>15</v>
      </c>
      <c r="I105">
        <f t="shared" si="2"/>
        <v>20</v>
      </c>
      <c r="J105" s="1">
        <f t="shared" si="3"/>
        <v>30</v>
      </c>
    </row>
    <row r="106" spans="1:10">
      <c r="A106">
        <v>1105</v>
      </c>
      <c r="B106" t="s">
        <v>132</v>
      </c>
      <c r="C106" t="s">
        <v>17</v>
      </c>
      <c r="D106" t="s">
        <v>18</v>
      </c>
      <c r="E106" t="s">
        <v>30</v>
      </c>
      <c r="F106">
        <v>1664886</v>
      </c>
      <c r="G106" t="s">
        <v>20</v>
      </c>
      <c r="H106" t="s">
        <v>15</v>
      </c>
      <c r="I106">
        <f t="shared" si="2"/>
        <v>40</v>
      </c>
      <c r="J106" s="1">
        <f t="shared" si="3"/>
        <v>30</v>
      </c>
    </row>
    <row r="107" spans="1:10">
      <c r="A107">
        <v>1106</v>
      </c>
      <c r="B107" t="s">
        <v>133</v>
      </c>
      <c r="C107" t="s">
        <v>54</v>
      </c>
      <c r="D107" t="s">
        <v>18</v>
      </c>
      <c r="E107" t="s">
        <v>30</v>
      </c>
      <c r="F107">
        <v>784075</v>
      </c>
      <c r="G107" t="s">
        <v>14</v>
      </c>
      <c r="H107" t="s">
        <v>21</v>
      </c>
      <c r="I107">
        <f t="shared" si="2"/>
        <v>10</v>
      </c>
      <c r="J107" s="1">
        <f t="shared" si="3"/>
        <v>30</v>
      </c>
    </row>
    <row r="108" spans="1:10">
      <c r="A108">
        <v>1107</v>
      </c>
      <c r="B108" t="s">
        <v>134</v>
      </c>
      <c r="C108" t="s">
        <v>39</v>
      </c>
      <c r="D108" t="s">
        <v>12</v>
      </c>
      <c r="E108" t="s">
        <v>34</v>
      </c>
      <c r="F108">
        <v>865526</v>
      </c>
      <c r="G108" t="s">
        <v>20</v>
      </c>
      <c r="H108" t="s">
        <v>21</v>
      </c>
      <c r="I108">
        <f t="shared" si="2"/>
        <v>40</v>
      </c>
      <c r="J108" s="1">
        <f t="shared" si="3"/>
        <v>10</v>
      </c>
    </row>
    <row r="109" spans="1:10">
      <c r="A109">
        <v>1108</v>
      </c>
      <c r="B109" t="s">
        <v>135</v>
      </c>
      <c r="C109" t="s">
        <v>54</v>
      </c>
      <c r="D109" t="s">
        <v>18</v>
      </c>
      <c r="E109" t="s">
        <v>13</v>
      </c>
      <c r="F109">
        <v>300324</v>
      </c>
      <c r="G109" t="s">
        <v>14</v>
      </c>
      <c r="H109" t="s">
        <v>21</v>
      </c>
      <c r="I109">
        <f t="shared" si="2"/>
        <v>10</v>
      </c>
      <c r="J109" s="1">
        <f t="shared" si="3"/>
        <v>30</v>
      </c>
    </row>
    <row r="110" spans="1:10">
      <c r="A110">
        <v>1109</v>
      </c>
      <c r="B110" t="s">
        <v>136</v>
      </c>
      <c r="C110" t="s">
        <v>27</v>
      </c>
      <c r="D110" t="s">
        <v>12</v>
      </c>
      <c r="E110" t="s">
        <v>34</v>
      </c>
      <c r="F110">
        <v>1050692</v>
      </c>
      <c r="G110" t="s">
        <v>20</v>
      </c>
      <c r="H110" t="s">
        <v>21</v>
      </c>
      <c r="I110">
        <f t="shared" si="2"/>
        <v>40</v>
      </c>
      <c r="J110" s="1">
        <f t="shared" si="3"/>
        <v>10</v>
      </c>
    </row>
    <row r="111" spans="1:10">
      <c r="A111">
        <v>1110</v>
      </c>
      <c r="B111" t="s">
        <v>137</v>
      </c>
      <c r="C111" t="s">
        <v>11</v>
      </c>
      <c r="D111" t="s">
        <v>12</v>
      </c>
      <c r="E111" t="s">
        <v>13</v>
      </c>
      <c r="F111">
        <v>1727670</v>
      </c>
      <c r="G111" t="s">
        <v>14</v>
      </c>
      <c r="H111" t="s">
        <v>15</v>
      </c>
      <c r="I111">
        <f t="shared" si="2"/>
        <v>20</v>
      </c>
      <c r="J111" s="1">
        <f t="shared" si="3"/>
        <v>10</v>
      </c>
    </row>
    <row r="112" spans="1:10">
      <c r="A112">
        <v>1111</v>
      </c>
      <c r="B112" t="s">
        <v>138</v>
      </c>
      <c r="C112" t="s">
        <v>54</v>
      </c>
      <c r="D112" t="s">
        <v>18</v>
      </c>
      <c r="E112" t="s">
        <v>34</v>
      </c>
      <c r="F112">
        <v>475154</v>
      </c>
      <c r="G112" t="s">
        <v>14</v>
      </c>
      <c r="H112" t="s">
        <v>15</v>
      </c>
      <c r="I112">
        <f t="shared" si="2"/>
        <v>10</v>
      </c>
      <c r="J112" s="1">
        <f t="shared" si="3"/>
        <v>30</v>
      </c>
    </row>
    <row r="113" spans="1:10">
      <c r="A113">
        <v>1112</v>
      </c>
      <c r="B113" t="s">
        <v>139</v>
      </c>
      <c r="C113" t="s">
        <v>27</v>
      </c>
      <c r="D113" t="s">
        <v>12</v>
      </c>
      <c r="E113" t="s">
        <v>34</v>
      </c>
      <c r="F113">
        <v>1657589</v>
      </c>
      <c r="G113" t="s">
        <v>14</v>
      </c>
      <c r="H113" t="s">
        <v>15</v>
      </c>
      <c r="I113">
        <f t="shared" si="2"/>
        <v>20</v>
      </c>
      <c r="J113" s="1">
        <f t="shared" si="3"/>
        <v>10</v>
      </c>
    </row>
    <row r="114" spans="1:10">
      <c r="A114">
        <v>1113</v>
      </c>
      <c r="B114" t="s">
        <v>140</v>
      </c>
      <c r="C114" t="s">
        <v>23</v>
      </c>
      <c r="D114" t="s">
        <v>24</v>
      </c>
      <c r="E114" t="s">
        <v>34</v>
      </c>
      <c r="F114">
        <v>788431</v>
      </c>
      <c r="G114" t="s">
        <v>20</v>
      </c>
      <c r="H114" t="s">
        <v>21</v>
      </c>
      <c r="I114">
        <f t="shared" si="2"/>
        <v>40</v>
      </c>
      <c r="J114" s="1">
        <f t="shared" si="3"/>
        <v>20</v>
      </c>
    </row>
    <row r="115" spans="1:10">
      <c r="A115">
        <v>1114</v>
      </c>
      <c r="B115" t="s">
        <v>141</v>
      </c>
      <c r="C115" t="s">
        <v>27</v>
      </c>
      <c r="D115" t="s">
        <v>12</v>
      </c>
      <c r="E115" t="s">
        <v>25</v>
      </c>
      <c r="F115">
        <v>821251</v>
      </c>
      <c r="G115" t="s">
        <v>20</v>
      </c>
      <c r="H115" t="s">
        <v>21</v>
      </c>
      <c r="I115">
        <f t="shared" si="2"/>
        <v>40</v>
      </c>
      <c r="J115" s="1">
        <f t="shared" si="3"/>
        <v>10</v>
      </c>
    </row>
    <row r="116" spans="1:10">
      <c r="A116">
        <v>1115</v>
      </c>
      <c r="B116" t="s">
        <v>142</v>
      </c>
      <c r="C116" t="s">
        <v>11</v>
      </c>
      <c r="D116" t="s">
        <v>12</v>
      </c>
      <c r="E116" t="s">
        <v>34</v>
      </c>
      <c r="F116">
        <v>1504720</v>
      </c>
      <c r="G116" t="s">
        <v>14</v>
      </c>
      <c r="H116" t="s">
        <v>15</v>
      </c>
      <c r="I116">
        <f t="shared" si="2"/>
        <v>20</v>
      </c>
      <c r="J116" s="1">
        <f t="shared" si="3"/>
        <v>10</v>
      </c>
    </row>
    <row r="117" spans="1:10">
      <c r="A117">
        <v>1116</v>
      </c>
      <c r="B117" t="s">
        <v>143</v>
      </c>
      <c r="C117" t="s">
        <v>23</v>
      </c>
      <c r="D117" t="s">
        <v>24</v>
      </c>
      <c r="E117" t="s">
        <v>13</v>
      </c>
      <c r="F117">
        <v>374971</v>
      </c>
      <c r="G117" t="s">
        <v>14</v>
      </c>
      <c r="H117" t="s">
        <v>21</v>
      </c>
      <c r="I117">
        <f t="shared" si="2"/>
        <v>10</v>
      </c>
      <c r="J117" s="1">
        <f t="shared" si="3"/>
        <v>20</v>
      </c>
    </row>
    <row r="118" spans="1:10">
      <c r="A118">
        <v>1117</v>
      </c>
      <c r="B118" t="s">
        <v>144</v>
      </c>
      <c r="C118" t="s">
        <v>27</v>
      </c>
      <c r="D118" t="s">
        <v>12</v>
      </c>
      <c r="E118" t="s">
        <v>30</v>
      </c>
      <c r="F118">
        <v>1597816</v>
      </c>
      <c r="G118" t="s">
        <v>20</v>
      </c>
      <c r="H118" t="s">
        <v>15</v>
      </c>
      <c r="I118">
        <f t="shared" si="2"/>
        <v>40</v>
      </c>
      <c r="J118" s="1">
        <f t="shared" si="3"/>
        <v>10</v>
      </c>
    </row>
    <row r="119" spans="1:10">
      <c r="A119">
        <v>1118</v>
      </c>
      <c r="B119" t="s">
        <v>145</v>
      </c>
      <c r="C119" t="s">
        <v>11</v>
      </c>
      <c r="D119" t="s">
        <v>12</v>
      </c>
      <c r="E119" t="s">
        <v>30</v>
      </c>
      <c r="F119">
        <v>605701</v>
      </c>
      <c r="G119" t="s">
        <v>14</v>
      </c>
      <c r="H119" t="s">
        <v>21</v>
      </c>
      <c r="I119">
        <f t="shared" si="2"/>
        <v>10</v>
      </c>
      <c r="J119" s="1">
        <f t="shared" si="3"/>
        <v>10</v>
      </c>
    </row>
    <row r="120" spans="1:10">
      <c r="A120">
        <v>1119</v>
      </c>
      <c r="B120" t="s">
        <v>146</v>
      </c>
      <c r="C120" t="s">
        <v>11</v>
      </c>
      <c r="D120" t="s">
        <v>12</v>
      </c>
      <c r="E120" t="s">
        <v>30</v>
      </c>
      <c r="F120">
        <v>787577</v>
      </c>
      <c r="G120" t="s">
        <v>20</v>
      </c>
      <c r="H120" t="s">
        <v>21</v>
      </c>
      <c r="I120">
        <f t="shared" si="2"/>
        <v>40</v>
      </c>
      <c r="J120" s="1">
        <f t="shared" si="3"/>
        <v>10</v>
      </c>
    </row>
    <row r="121" spans="1:10">
      <c r="A121">
        <v>1120</v>
      </c>
      <c r="B121" t="s">
        <v>147</v>
      </c>
      <c r="C121" t="s">
        <v>17</v>
      </c>
      <c r="D121" t="s">
        <v>18</v>
      </c>
      <c r="E121" t="s">
        <v>13</v>
      </c>
      <c r="F121">
        <v>1893719</v>
      </c>
      <c r="G121" t="s">
        <v>20</v>
      </c>
      <c r="H121" t="s">
        <v>15</v>
      </c>
      <c r="I121">
        <f t="shared" si="2"/>
        <v>40</v>
      </c>
      <c r="J121" s="1">
        <f t="shared" si="3"/>
        <v>30</v>
      </c>
    </row>
    <row r="122" spans="1:10">
      <c r="A122">
        <v>1121</v>
      </c>
      <c r="B122" t="s">
        <v>148</v>
      </c>
      <c r="C122" t="s">
        <v>39</v>
      </c>
      <c r="D122" t="s">
        <v>12</v>
      </c>
      <c r="E122" t="s">
        <v>30</v>
      </c>
      <c r="F122">
        <v>678936</v>
      </c>
      <c r="G122" t="s">
        <v>20</v>
      </c>
      <c r="H122" t="s">
        <v>21</v>
      </c>
      <c r="I122">
        <f t="shared" si="2"/>
        <v>40</v>
      </c>
      <c r="J122" s="1">
        <f t="shared" si="3"/>
        <v>10</v>
      </c>
    </row>
    <row r="123" spans="1:10">
      <c r="A123">
        <v>1122</v>
      </c>
      <c r="B123" t="s">
        <v>149</v>
      </c>
      <c r="C123" t="s">
        <v>39</v>
      </c>
      <c r="D123" t="s">
        <v>12</v>
      </c>
      <c r="E123" t="s">
        <v>25</v>
      </c>
      <c r="F123">
        <v>962782</v>
      </c>
      <c r="G123" t="s">
        <v>20</v>
      </c>
      <c r="H123" t="s">
        <v>21</v>
      </c>
      <c r="I123">
        <f t="shared" si="2"/>
        <v>40</v>
      </c>
      <c r="J123" s="1">
        <f t="shared" si="3"/>
        <v>10</v>
      </c>
    </row>
    <row r="124" spans="1:10">
      <c r="A124">
        <v>1123</v>
      </c>
      <c r="B124" t="s">
        <v>150</v>
      </c>
      <c r="C124" t="s">
        <v>39</v>
      </c>
      <c r="D124" t="s">
        <v>12</v>
      </c>
      <c r="E124" t="s">
        <v>13</v>
      </c>
      <c r="F124">
        <v>938287</v>
      </c>
      <c r="G124" t="s">
        <v>14</v>
      </c>
      <c r="H124" t="s">
        <v>15</v>
      </c>
      <c r="I124">
        <f t="shared" si="2"/>
        <v>10</v>
      </c>
      <c r="J124" s="1">
        <f t="shared" si="3"/>
        <v>10</v>
      </c>
    </row>
    <row r="125" spans="1:10">
      <c r="A125">
        <v>1124</v>
      </c>
      <c r="B125" t="s">
        <v>151</v>
      </c>
      <c r="C125" t="s">
        <v>11</v>
      </c>
      <c r="D125" t="s">
        <v>12</v>
      </c>
      <c r="E125" t="s">
        <v>34</v>
      </c>
      <c r="F125">
        <v>1067724</v>
      </c>
      <c r="G125" t="s">
        <v>14</v>
      </c>
      <c r="H125" t="s">
        <v>15</v>
      </c>
      <c r="I125">
        <f t="shared" si="2"/>
        <v>20</v>
      </c>
      <c r="J125" s="1">
        <f t="shared" si="3"/>
        <v>10</v>
      </c>
    </row>
    <row r="126" spans="1:10">
      <c r="A126">
        <v>1125</v>
      </c>
      <c r="B126" t="s">
        <v>152</v>
      </c>
      <c r="C126" t="s">
        <v>39</v>
      </c>
      <c r="D126" t="s">
        <v>12</v>
      </c>
      <c r="E126" t="s">
        <v>30</v>
      </c>
      <c r="F126">
        <v>429095</v>
      </c>
      <c r="G126" t="s">
        <v>14</v>
      </c>
      <c r="H126" t="s">
        <v>21</v>
      </c>
      <c r="I126">
        <f t="shared" si="2"/>
        <v>10</v>
      </c>
      <c r="J126" s="1">
        <f t="shared" si="3"/>
        <v>10</v>
      </c>
    </row>
    <row r="127" spans="1:10">
      <c r="A127">
        <v>1126</v>
      </c>
      <c r="B127" t="s">
        <v>153</v>
      </c>
      <c r="C127" t="s">
        <v>17</v>
      </c>
      <c r="D127" t="s">
        <v>18</v>
      </c>
      <c r="E127" t="s">
        <v>25</v>
      </c>
      <c r="F127">
        <v>1663494</v>
      </c>
      <c r="G127" t="s">
        <v>14</v>
      </c>
      <c r="H127" t="s">
        <v>15</v>
      </c>
      <c r="I127">
        <f t="shared" si="2"/>
        <v>20</v>
      </c>
      <c r="J127" s="1">
        <f t="shared" si="3"/>
        <v>30</v>
      </c>
    </row>
    <row r="128" spans="1:10">
      <c r="A128">
        <v>1127</v>
      </c>
      <c r="B128" t="s">
        <v>154</v>
      </c>
      <c r="C128" t="s">
        <v>11</v>
      </c>
      <c r="D128" t="s">
        <v>12</v>
      </c>
      <c r="E128" t="s">
        <v>30</v>
      </c>
      <c r="F128">
        <v>528909</v>
      </c>
      <c r="G128" t="s">
        <v>14</v>
      </c>
      <c r="H128" t="s">
        <v>21</v>
      </c>
      <c r="I128">
        <f t="shared" si="2"/>
        <v>10</v>
      </c>
      <c r="J128" s="1">
        <f t="shared" si="3"/>
        <v>10</v>
      </c>
    </row>
    <row r="129" spans="1:10">
      <c r="A129">
        <v>1128</v>
      </c>
      <c r="B129" t="s">
        <v>155</v>
      </c>
      <c r="C129" t="s">
        <v>39</v>
      </c>
      <c r="D129" t="s">
        <v>12</v>
      </c>
      <c r="E129" t="s">
        <v>13</v>
      </c>
      <c r="F129">
        <v>883530</v>
      </c>
      <c r="G129" t="s">
        <v>20</v>
      </c>
      <c r="H129" t="s">
        <v>15</v>
      </c>
      <c r="I129">
        <f t="shared" si="2"/>
        <v>40</v>
      </c>
      <c r="J129" s="1">
        <f t="shared" si="3"/>
        <v>10</v>
      </c>
    </row>
    <row r="130" spans="1:10">
      <c r="A130">
        <v>1129</v>
      </c>
      <c r="B130" t="s">
        <v>156</v>
      </c>
      <c r="C130" t="s">
        <v>39</v>
      </c>
      <c r="D130" t="s">
        <v>12</v>
      </c>
      <c r="E130" t="s">
        <v>25</v>
      </c>
      <c r="F130">
        <v>1768307</v>
      </c>
      <c r="G130" t="s">
        <v>14</v>
      </c>
      <c r="H130" t="s">
        <v>21</v>
      </c>
      <c r="I130">
        <f t="shared" si="2"/>
        <v>20</v>
      </c>
      <c r="J130" s="1">
        <f t="shared" si="3"/>
        <v>10</v>
      </c>
    </row>
    <row r="131" spans="1:10">
      <c r="A131">
        <v>1130</v>
      </c>
      <c r="B131" t="s">
        <v>157</v>
      </c>
      <c r="C131" t="s">
        <v>39</v>
      </c>
      <c r="D131" t="s">
        <v>12</v>
      </c>
      <c r="E131" t="s">
        <v>30</v>
      </c>
      <c r="F131">
        <v>359966</v>
      </c>
      <c r="G131" t="s">
        <v>14</v>
      </c>
      <c r="H131" t="s">
        <v>15</v>
      </c>
      <c r="I131">
        <f t="shared" ref="I131:I194" si="4">IF(TRIM(LOWER(G131))="yes",40,IF(VALUE(F131)&gt;1000000,20,10))</f>
        <v>10</v>
      </c>
      <c r="J131" s="1">
        <f t="shared" ref="J131:J194" si="5">IF(OR(C131="UAE",C131="Nigeria"),30,IF(C131="USA",20,10))</f>
        <v>10</v>
      </c>
    </row>
    <row r="132" spans="1:10">
      <c r="A132">
        <v>1131</v>
      </c>
      <c r="B132" t="s">
        <v>158</v>
      </c>
      <c r="C132" t="s">
        <v>11</v>
      </c>
      <c r="D132" t="s">
        <v>12</v>
      </c>
      <c r="E132" t="s">
        <v>19</v>
      </c>
      <c r="F132">
        <v>1807826</v>
      </c>
      <c r="G132" t="s">
        <v>20</v>
      </c>
      <c r="H132" t="s">
        <v>15</v>
      </c>
      <c r="I132">
        <f t="shared" si="4"/>
        <v>40</v>
      </c>
      <c r="J132" s="1">
        <f t="shared" si="5"/>
        <v>10</v>
      </c>
    </row>
    <row r="133" spans="1:10">
      <c r="A133">
        <v>1132</v>
      </c>
      <c r="B133" t="s">
        <v>159</v>
      </c>
      <c r="C133" t="s">
        <v>11</v>
      </c>
      <c r="D133" t="s">
        <v>12</v>
      </c>
      <c r="E133" t="s">
        <v>13</v>
      </c>
      <c r="F133">
        <v>816378</v>
      </c>
      <c r="G133" t="s">
        <v>20</v>
      </c>
      <c r="H133" t="s">
        <v>21</v>
      </c>
      <c r="I133">
        <f t="shared" si="4"/>
        <v>40</v>
      </c>
      <c r="J133" s="1">
        <f t="shared" si="5"/>
        <v>10</v>
      </c>
    </row>
    <row r="134" spans="1:10">
      <c r="A134">
        <v>1133</v>
      </c>
      <c r="B134" t="s">
        <v>160</v>
      </c>
      <c r="C134" t="s">
        <v>54</v>
      </c>
      <c r="D134" t="s">
        <v>18</v>
      </c>
      <c r="E134" t="s">
        <v>13</v>
      </c>
      <c r="F134">
        <v>1259457</v>
      </c>
      <c r="G134" t="s">
        <v>20</v>
      </c>
      <c r="H134" t="s">
        <v>21</v>
      </c>
      <c r="I134">
        <f t="shared" si="4"/>
        <v>40</v>
      </c>
      <c r="J134" s="1">
        <f t="shared" si="5"/>
        <v>30</v>
      </c>
    </row>
    <row r="135" spans="1:10">
      <c r="A135">
        <v>1134</v>
      </c>
      <c r="B135" t="s">
        <v>161</v>
      </c>
      <c r="C135" t="s">
        <v>17</v>
      </c>
      <c r="D135" t="s">
        <v>18</v>
      </c>
      <c r="E135" t="s">
        <v>19</v>
      </c>
      <c r="F135">
        <v>1057604</v>
      </c>
      <c r="G135" t="s">
        <v>20</v>
      </c>
      <c r="H135" t="s">
        <v>21</v>
      </c>
      <c r="I135">
        <f t="shared" si="4"/>
        <v>40</v>
      </c>
      <c r="J135" s="1">
        <f t="shared" si="5"/>
        <v>30</v>
      </c>
    </row>
    <row r="136" spans="1:10">
      <c r="A136">
        <v>1135</v>
      </c>
      <c r="B136" t="s">
        <v>162</v>
      </c>
      <c r="C136" t="s">
        <v>17</v>
      </c>
      <c r="D136" t="s">
        <v>18</v>
      </c>
      <c r="E136" t="s">
        <v>19</v>
      </c>
      <c r="F136">
        <v>1199346</v>
      </c>
      <c r="G136" t="s">
        <v>20</v>
      </c>
      <c r="H136" t="s">
        <v>21</v>
      </c>
      <c r="I136">
        <f t="shared" si="4"/>
        <v>40</v>
      </c>
      <c r="J136" s="1">
        <f t="shared" si="5"/>
        <v>30</v>
      </c>
    </row>
    <row r="137" spans="1:10">
      <c r="A137">
        <v>1136</v>
      </c>
      <c r="B137" t="s">
        <v>163</v>
      </c>
      <c r="C137" t="s">
        <v>11</v>
      </c>
      <c r="D137" t="s">
        <v>12</v>
      </c>
      <c r="E137" t="s">
        <v>13</v>
      </c>
      <c r="F137">
        <v>1247433</v>
      </c>
      <c r="G137" t="s">
        <v>14</v>
      </c>
      <c r="H137" t="s">
        <v>15</v>
      </c>
      <c r="I137">
        <f t="shared" si="4"/>
        <v>20</v>
      </c>
      <c r="J137" s="1">
        <f t="shared" si="5"/>
        <v>10</v>
      </c>
    </row>
    <row r="138" spans="1:10">
      <c r="A138">
        <v>1137</v>
      </c>
      <c r="B138" t="s">
        <v>164</v>
      </c>
      <c r="C138" t="s">
        <v>54</v>
      </c>
      <c r="D138" t="s">
        <v>18</v>
      </c>
      <c r="E138" t="s">
        <v>13</v>
      </c>
      <c r="F138">
        <v>1968235</v>
      </c>
      <c r="G138" t="s">
        <v>20</v>
      </c>
      <c r="H138" t="s">
        <v>21</v>
      </c>
      <c r="I138">
        <f t="shared" si="4"/>
        <v>40</v>
      </c>
      <c r="J138" s="1">
        <f t="shared" si="5"/>
        <v>30</v>
      </c>
    </row>
    <row r="139" spans="1:10">
      <c r="A139">
        <v>1138</v>
      </c>
      <c r="B139" t="s">
        <v>165</v>
      </c>
      <c r="C139" t="s">
        <v>27</v>
      </c>
      <c r="D139" t="s">
        <v>12</v>
      </c>
      <c r="E139" t="s">
        <v>25</v>
      </c>
      <c r="F139">
        <v>1696826</v>
      </c>
      <c r="G139" t="s">
        <v>14</v>
      </c>
      <c r="H139" t="s">
        <v>21</v>
      </c>
      <c r="I139">
        <f t="shared" si="4"/>
        <v>20</v>
      </c>
      <c r="J139" s="1">
        <f t="shared" si="5"/>
        <v>10</v>
      </c>
    </row>
    <row r="140" spans="1:10">
      <c r="A140">
        <v>1139</v>
      </c>
      <c r="B140" t="s">
        <v>166</v>
      </c>
      <c r="C140" t="s">
        <v>39</v>
      </c>
      <c r="D140" t="s">
        <v>12</v>
      </c>
      <c r="E140" t="s">
        <v>34</v>
      </c>
      <c r="F140">
        <v>909305</v>
      </c>
      <c r="G140" t="s">
        <v>20</v>
      </c>
      <c r="H140" t="s">
        <v>15</v>
      </c>
      <c r="I140">
        <f t="shared" si="4"/>
        <v>40</v>
      </c>
      <c r="J140" s="1">
        <f t="shared" si="5"/>
        <v>10</v>
      </c>
    </row>
    <row r="141" spans="1:10">
      <c r="A141">
        <v>1140</v>
      </c>
      <c r="B141" t="s">
        <v>167</v>
      </c>
      <c r="C141" t="s">
        <v>17</v>
      </c>
      <c r="D141" t="s">
        <v>18</v>
      </c>
      <c r="E141" t="s">
        <v>19</v>
      </c>
      <c r="F141">
        <v>935432</v>
      </c>
      <c r="G141" t="s">
        <v>20</v>
      </c>
      <c r="H141" t="s">
        <v>21</v>
      </c>
      <c r="I141">
        <f t="shared" si="4"/>
        <v>40</v>
      </c>
      <c r="J141" s="1">
        <f t="shared" si="5"/>
        <v>30</v>
      </c>
    </row>
    <row r="142" spans="1:10">
      <c r="A142">
        <v>1141</v>
      </c>
      <c r="B142" t="s">
        <v>168</v>
      </c>
      <c r="C142" t="s">
        <v>27</v>
      </c>
      <c r="D142" t="s">
        <v>12</v>
      </c>
      <c r="E142" t="s">
        <v>34</v>
      </c>
      <c r="F142">
        <v>311429</v>
      </c>
      <c r="G142" t="s">
        <v>14</v>
      </c>
      <c r="H142" t="s">
        <v>15</v>
      </c>
      <c r="I142">
        <f t="shared" si="4"/>
        <v>10</v>
      </c>
      <c r="J142" s="1">
        <f t="shared" si="5"/>
        <v>10</v>
      </c>
    </row>
    <row r="143" spans="1:10">
      <c r="A143">
        <v>1142</v>
      </c>
      <c r="B143" t="s">
        <v>169</v>
      </c>
      <c r="C143" t="s">
        <v>17</v>
      </c>
      <c r="D143" t="s">
        <v>18</v>
      </c>
      <c r="E143" t="s">
        <v>13</v>
      </c>
      <c r="F143">
        <v>1739937</v>
      </c>
      <c r="G143" t="s">
        <v>14</v>
      </c>
      <c r="H143" t="s">
        <v>21</v>
      </c>
      <c r="I143">
        <f t="shared" si="4"/>
        <v>20</v>
      </c>
      <c r="J143" s="1">
        <f t="shared" si="5"/>
        <v>30</v>
      </c>
    </row>
    <row r="144" spans="1:10">
      <c r="A144">
        <v>1143</v>
      </c>
      <c r="B144" t="s">
        <v>170</v>
      </c>
      <c r="C144" t="s">
        <v>39</v>
      </c>
      <c r="D144" t="s">
        <v>12</v>
      </c>
      <c r="E144" t="s">
        <v>13</v>
      </c>
      <c r="F144">
        <v>1401263</v>
      </c>
      <c r="G144" t="s">
        <v>14</v>
      </c>
      <c r="H144" t="s">
        <v>15</v>
      </c>
      <c r="I144">
        <f t="shared" si="4"/>
        <v>20</v>
      </c>
      <c r="J144" s="1">
        <f t="shared" si="5"/>
        <v>10</v>
      </c>
    </row>
    <row r="145" spans="1:10">
      <c r="A145">
        <v>1144</v>
      </c>
      <c r="B145" t="s">
        <v>171</v>
      </c>
      <c r="C145" t="s">
        <v>17</v>
      </c>
      <c r="D145" t="s">
        <v>18</v>
      </c>
      <c r="E145" t="s">
        <v>25</v>
      </c>
      <c r="F145">
        <v>1404854</v>
      </c>
      <c r="G145" t="s">
        <v>14</v>
      </c>
      <c r="H145" t="s">
        <v>21</v>
      </c>
      <c r="I145">
        <f t="shared" si="4"/>
        <v>20</v>
      </c>
      <c r="J145" s="1">
        <f t="shared" si="5"/>
        <v>30</v>
      </c>
    </row>
    <row r="146" spans="1:10">
      <c r="A146">
        <v>1145</v>
      </c>
      <c r="B146" t="s">
        <v>172</v>
      </c>
      <c r="C146" t="s">
        <v>27</v>
      </c>
      <c r="D146" t="s">
        <v>12</v>
      </c>
      <c r="E146" t="s">
        <v>25</v>
      </c>
      <c r="F146">
        <v>1054351</v>
      </c>
      <c r="G146" t="s">
        <v>14</v>
      </c>
      <c r="H146" t="s">
        <v>21</v>
      </c>
      <c r="I146">
        <f t="shared" si="4"/>
        <v>20</v>
      </c>
      <c r="J146" s="1">
        <f t="shared" si="5"/>
        <v>10</v>
      </c>
    </row>
    <row r="147" spans="1:10">
      <c r="A147">
        <v>1146</v>
      </c>
      <c r="B147" t="s">
        <v>173</v>
      </c>
      <c r="C147" t="s">
        <v>39</v>
      </c>
      <c r="D147" t="s">
        <v>12</v>
      </c>
      <c r="E147" t="s">
        <v>30</v>
      </c>
      <c r="F147">
        <v>795850</v>
      </c>
      <c r="G147" t="s">
        <v>20</v>
      </c>
      <c r="H147" t="s">
        <v>21</v>
      </c>
      <c r="I147">
        <f t="shared" si="4"/>
        <v>40</v>
      </c>
      <c r="J147" s="1">
        <f t="shared" si="5"/>
        <v>10</v>
      </c>
    </row>
    <row r="148" spans="1:10">
      <c r="A148">
        <v>1147</v>
      </c>
      <c r="B148" t="s">
        <v>174</v>
      </c>
      <c r="C148" t="s">
        <v>27</v>
      </c>
      <c r="D148" t="s">
        <v>12</v>
      </c>
      <c r="E148" t="s">
        <v>13</v>
      </c>
      <c r="F148">
        <v>592403</v>
      </c>
      <c r="G148" t="s">
        <v>20</v>
      </c>
      <c r="H148" t="s">
        <v>15</v>
      </c>
      <c r="I148">
        <f t="shared" si="4"/>
        <v>40</v>
      </c>
      <c r="J148" s="1">
        <f t="shared" si="5"/>
        <v>10</v>
      </c>
    </row>
    <row r="149" spans="1:10">
      <c r="A149">
        <v>1148</v>
      </c>
      <c r="B149" t="s">
        <v>175</v>
      </c>
      <c r="C149" t="s">
        <v>11</v>
      </c>
      <c r="D149" t="s">
        <v>12</v>
      </c>
      <c r="E149" t="s">
        <v>34</v>
      </c>
      <c r="F149">
        <v>791275</v>
      </c>
      <c r="G149" t="s">
        <v>20</v>
      </c>
      <c r="H149" t="s">
        <v>15</v>
      </c>
      <c r="I149">
        <f t="shared" si="4"/>
        <v>40</v>
      </c>
      <c r="J149" s="1">
        <f t="shared" si="5"/>
        <v>10</v>
      </c>
    </row>
    <row r="150" spans="1:10">
      <c r="A150">
        <v>1149</v>
      </c>
      <c r="B150" t="s">
        <v>176</v>
      </c>
      <c r="C150" t="s">
        <v>39</v>
      </c>
      <c r="D150" t="s">
        <v>12</v>
      </c>
      <c r="E150" t="s">
        <v>19</v>
      </c>
      <c r="F150">
        <v>870608</v>
      </c>
      <c r="G150" t="s">
        <v>20</v>
      </c>
      <c r="H150" t="s">
        <v>21</v>
      </c>
      <c r="I150">
        <f t="shared" si="4"/>
        <v>40</v>
      </c>
      <c r="J150" s="1">
        <f t="shared" si="5"/>
        <v>10</v>
      </c>
    </row>
    <row r="151" spans="1:10">
      <c r="A151">
        <v>1150</v>
      </c>
      <c r="B151" t="s">
        <v>177</v>
      </c>
      <c r="C151" t="s">
        <v>11</v>
      </c>
      <c r="D151" t="s">
        <v>12</v>
      </c>
      <c r="E151" t="s">
        <v>25</v>
      </c>
      <c r="F151">
        <v>1288974</v>
      </c>
      <c r="G151" t="s">
        <v>20</v>
      </c>
      <c r="H151" t="s">
        <v>15</v>
      </c>
      <c r="I151">
        <f t="shared" si="4"/>
        <v>40</v>
      </c>
      <c r="J151" s="1">
        <f t="shared" si="5"/>
        <v>10</v>
      </c>
    </row>
    <row r="152" spans="1:10">
      <c r="A152">
        <v>1151</v>
      </c>
      <c r="B152" t="s">
        <v>178</v>
      </c>
      <c r="C152" t="s">
        <v>17</v>
      </c>
      <c r="D152" t="s">
        <v>18</v>
      </c>
      <c r="E152" t="s">
        <v>19</v>
      </c>
      <c r="F152">
        <v>886746</v>
      </c>
      <c r="G152" t="s">
        <v>14</v>
      </c>
      <c r="H152" t="s">
        <v>21</v>
      </c>
      <c r="I152">
        <f t="shared" si="4"/>
        <v>10</v>
      </c>
      <c r="J152" s="1">
        <f t="shared" si="5"/>
        <v>30</v>
      </c>
    </row>
    <row r="153" spans="1:10">
      <c r="A153">
        <v>1152</v>
      </c>
      <c r="B153" t="s">
        <v>179</v>
      </c>
      <c r="C153" t="s">
        <v>54</v>
      </c>
      <c r="D153" t="s">
        <v>18</v>
      </c>
      <c r="E153" t="s">
        <v>34</v>
      </c>
      <c r="F153">
        <v>896845</v>
      </c>
      <c r="G153" t="s">
        <v>14</v>
      </c>
      <c r="H153" t="s">
        <v>15</v>
      </c>
      <c r="I153">
        <f t="shared" si="4"/>
        <v>10</v>
      </c>
      <c r="J153" s="1">
        <f t="shared" si="5"/>
        <v>30</v>
      </c>
    </row>
    <row r="154" spans="1:10">
      <c r="A154">
        <v>1153</v>
      </c>
      <c r="B154" t="s">
        <v>180</v>
      </c>
      <c r="C154" t="s">
        <v>27</v>
      </c>
      <c r="D154" t="s">
        <v>12</v>
      </c>
      <c r="E154" t="s">
        <v>25</v>
      </c>
      <c r="F154">
        <v>686093</v>
      </c>
      <c r="G154" t="s">
        <v>20</v>
      </c>
      <c r="H154" t="s">
        <v>21</v>
      </c>
      <c r="I154">
        <f t="shared" si="4"/>
        <v>40</v>
      </c>
      <c r="J154" s="1">
        <f t="shared" si="5"/>
        <v>10</v>
      </c>
    </row>
    <row r="155" spans="1:10">
      <c r="A155">
        <v>1154</v>
      </c>
      <c r="B155" t="s">
        <v>181</v>
      </c>
      <c r="C155" t="s">
        <v>27</v>
      </c>
      <c r="D155" t="s">
        <v>12</v>
      </c>
      <c r="E155" t="s">
        <v>34</v>
      </c>
      <c r="F155">
        <v>1892997</v>
      </c>
      <c r="G155" t="s">
        <v>20</v>
      </c>
      <c r="H155" t="s">
        <v>21</v>
      </c>
      <c r="I155">
        <f t="shared" si="4"/>
        <v>40</v>
      </c>
      <c r="J155" s="1">
        <f t="shared" si="5"/>
        <v>10</v>
      </c>
    </row>
    <row r="156" spans="1:10">
      <c r="A156">
        <v>1155</v>
      </c>
      <c r="B156" t="s">
        <v>182</v>
      </c>
      <c r="C156" t="s">
        <v>54</v>
      </c>
      <c r="D156" t="s">
        <v>18</v>
      </c>
      <c r="E156" t="s">
        <v>19</v>
      </c>
      <c r="F156">
        <v>1685038</v>
      </c>
      <c r="G156" t="s">
        <v>14</v>
      </c>
      <c r="H156" t="s">
        <v>15</v>
      </c>
      <c r="I156">
        <f t="shared" si="4"/>
        <v>20</v>
      </c>
      <c r="J156" s="1">
        <f t="shared" si="5"/>
        <v>30</v>
      </c>
    </row>
    <row r="157" spans="1:10">
      <c r="A157">
        <v>1156</v>
      </c>
      <c r="B157" t="s">
        <v>183</v>
      </c>
      <c r="C157" t="s">
        <v>17</v>
      </c>
      <c r="D157" t="s">
        <v>18</v>
      </c>
      <c r="E157" t="s">
        <v>30</v>
      </c>
      <c r="F157">
        <v>1677619</v>
      </c>
      <c r="G157" t="s">
        <v>14</v>
      </c>
      <c r="H157" t="s">
        <v>21</v>
      </c>
      <c r="I157">
        <f t="shared" si="4"/>
        <v>20</v>
      </c>
      <c r="J157" s="1">
        <f t="shared" si="5"/>
        <v>30</v>
      </c>
    </row>
    <row r="158" spans="1:10">
      <c r="A158">
        <v>1157</v>
      </c>
      <c r="B158" t="s">
        <v>184</v>
      </c>
      <c r="C158" t="s">
        <v>39</v>
      </c>
      <c r="D158" t="s">
        <v>12</v>
      </c>
      <c r="E158" t="s">
        <v>19</v>
      </c>
      <c r="F158">
        <v>434544</v>
      </c>
      <c r="G158" t="s">
        <v>20</v>
      </c>
      <c r="H158" t="s">
        <v>21</v>
      </c>
      <c r="I158">
        <f t="shared" si="4"/>
        <v>40</v>
      </c>
      <c r="J158" s="1">
        <f t="shared" si="5"/>
        <v>10</v>
      </c>
    </row>
    <row r="159" spans="1:10">
      <c r="A159">
        <v>1158</v>
      </c>
      <c r="B159" t="s">
        <v>185</v>
      </c>
      <c r="C159" t="s">
        <v>11</v>
      </c>
      <c r="D159" t="s">
        <v>12</v>
      </c>
      <c r="E159" t="s">
        <v>13</v>
      </c>
      <c r="F159">
        <v>1725729</v>
      </c>
      <c r="G159" t="s">
        <v>14</v>
      </c>
      <c r="H159" t="s">
        <v>15</v>
      </c>
      <c r="I159">
        <f t="shared" si="4"/>
        <v>20</v>
      </c>
      <c r="J159" s="1">
        <f t="shared" si="5"/>
        <v>10</v>
      </c>
    </row>
    <row r="160" spans="1:10">
      <c r="A160">
        <v>1159</v>
      </c>
      <c r="B160" t="s">
        <v>186</v>
      </c>
      <c r="C160" t="s">
        <v>27</v>
      </c>
      <c r="D160" t="s">
        <v>12</v>
      </c>
      <c r="E160" t="s">
        <v>34</v>
      </c>
      <c r="F160">
        <v>1733659</v>
      </c>
      <c r="G160" t="s">
        <v>14</v>
      </c>
      <c r="H160" t="s">
        <v>21</v>
      </c>
      <c r="I160">
        <f t="shared" si="4"/>
        <v>20</v>
      </c>
      <c r="J160" s="1">
        <f t="shared" si="5"/>
        <v>10</v>
      </c>
    </row>
    <row r="161" spans="1:10">
      <c r="A161">
        <v>1160</v>
      </c>
      <c r="B161" t="s">
        <v>187</v>
      </c>
      <c r="C161" t="s">
        <v>39</v>
      </c>
      <c r="D161" t="s">
        <v>12</v>
      </c>
      <c r="E161" t="s">
        <v>13</v>
      </c>
      <c r="F161">
        <v>1225823</v>
      </c>
      <c r="G161" t="s">
        <v>14</v>
      </c>
      <c r="H161" t="s">
        <v>15</v>
      </c>
      <c r="I161">
        <f t="shared" si="4"/>
        <v>20</v>
      </c>
      <c r="J161" s="1">
        <f t="shared" si="5"/>
        <v>10</v>
      </c>
    </row>
    <row r="162" spans="1:10">
      <c r="A162">
        <v>1161</v>
      </c>
      <c r="B162" t="s">
        <v>188</v>
      </c>
      <c r="C162" t="s">
        <v>11</v>
      </c>
      <c r="D162" t="s">
        <v>12</v>
      </c>
      <c r="E162" t="s">
        <v>30</v>
      </c>
      <c r="F162">
        <v>795297</v>
      </c>
      <c r="G162" t="s">
        <v>20</v>
      </c>
      <c r="H162" t="s">
        <v>21</v>
      </c>
      <c r="I162">
        <f t="shared" si="4"/>
        <v>40</v>
      </c>
      <c r="J162" s="1">
        <f t="shared" si="5"/>
        <v>10</v>
      </c>
    </row>
    <row r="163" spans="1:10">
      <c r="A163">
        <v>1162</v>
      </c>
      <c r="B163" t="s">
        <v>189</v>
      </c>
      <c r="C163" t="s">
        <v>17</v>
      </c>
      <c r="D163" t="s">
        <v>18</v>
      </c>
      <c r="E163" t="s">
        <v>19</v>
      </c>
      <c r="F163">
        <v>1198755</v>
      </c>
      <c r="G163" t="s">
        <v>14</v>
      </c>
      <c r="H163" t="s">
        <v>15</v>
      </c>
      <c r="I163">
        <f t="shared" si="4"/>
        <v>20</v>
      </c>
      <c r="J163" s="1">
        <f t="shared" si="5"/>
        <v>30</v>
      </c>
    </row>
    <row r="164" spans="1:10">
      <c r="A164">
        <v>1163</v>
      </c>
      <c r="B164" t="s">
        <v>190</v>
      </c>
      <c r="C164" t="s">
        <v>11</v>
      </c>
      <c r="D164" t="s">
        <v>12</v>
      </c>
      <c r="E164" t="s">
        <v>19</v>
      </c>
      <c r="F164">
        <v>1032507</v>
      </c>
      <c r="G164" t="s">
        <v>14</v>
      </c>
      <c r="H164" t="s">
        <v>21</v>
      </c>
      <c r="I164">
        <f t="shared" si="4"/>
        <v>20</v>
      </c>
      <c r="J164" s="1">
        <f t="shared" si="5"/>
        <v>10</v>
      </c>
    </row>
    <row r="165" spans="1:10">
      <c r="A165">
        <v>1164</v>
      </c>
      <c r="B165" t="s">
        <v>191</v>
      </c>
      <c r="C165" t="s">
        <v>54</v>
      </c>
      <c r="D165" t="s">
        <v>18</v>
      </c>
      <c r="E165" t="s">
        <v>34</v>
      </c>
      <c r="F165">
        <v>1137988</v>
      </c>
      <c r="G165" t="s">
        <v>14</v>
      </c>
      <c r="H165" t="s">
        <v>15</v>
      </c>
      <c r="I165">
        <f t="shared" si="4"/>
        <v>20</v>
      </c>
      <c r="J165" s="1">
        <f t="shared" si="5"/>
        <v>30</v>
      </c>
    </row>
    <row r="166" spans="1:10">
      <c r="A166">
        <v>1165</v>
      </c>
      <c r="B166" t="s">
        <v>192</v>
      </c>
      <c r="C166" t="s">
        <v>23</v>
      </c>
      <c r="D166" t="s">
        <v>24</v>
      </c>
      <c r="E166" t="s">
        <v>30</v>
      </c>
      <c r="F166">
        <v>455527</v>
      </c>
      <c r="G166" t="s">
        <v>14</v>
      </c>
      <c r="H166" t="s">
        <v>21</v>
      </c>
      <c r="I166">
        <f t="shared" si="4"/>
        <v>10</v>
      </c>
      <c r="J166" s="1">
        <f t="shared" si="5"/>
        <v>20</v>
      </c>
    </row>
    <row r="167" spans="1:10">
      <c r="A167">
        <v>1166</v>
      </c>
      <c r="B167" t="s">
        <v>193</v>
      </c>
      <c r="C167" t="s">
        <v>39</v>
      </c>
      <c r="D167" t="s">
        <v>12</v>
      </c>
      <c r="E167" t="s">
        <v>30</v>
      </c>
      <c r="F167">
        <v>551653</v>
      </c>
      <c r="G167" t="s">
        <v>20</v>
      </c>
      <c r="H167" t="s">
        <v>21</v>
      </c>
      <c r="I167">
        <f t="shared" si="4"/>
        <v>40</v>
      </c>
      <c r="J167" s="1">
        <f t="shared" si="5"/>
        <v>10</v>
      </c>
    </row>
    <row r="168" spans="1:10">
      <c r="A168">
        <v>1167</v>
      </c>
      <c r="B168" t="s">
        <v>194</v>
      </c>
      <c r="C168" t="s">
        <v>11</v>
      </c>
      <c r="D168" t="s">
        <v>12</v>
      </c>
      <c r="E168" t="s">
        <v>25</v>
      </c>
      <c r="F168">
        <v>1053476</v>
      </c>
      <c r="G168" t="s">
        <v>14</v>
      </c>
      <c r="H168" t="s">
        <v>21</v>
      </c>
      <c r="I168">
        <f t="shared" si="4"/>
        <v>20</v>
      </c>
      <c r="J168" s="1">
        <f t="shared" si="5"/>
        <v>10</v>
      </c>
    </row>
    <row r="169" spans="1:10">
      <c r="A169">
        <v>1168</v>
      </c>
      <c r="B169" t="s">
        <v>195</v>
      </c>
      <c r="C169" t="s">
        <v>23</v>
      </c>
      <c r="D169" t="s">
        <v>24</v>
      </c>
      <c r="E169" t="s">
        <v>34</v>
      </c>
      <c r="F169">
        <v>1945678</v>
      </c>
      <c r="G169" t="s">
        <v>20</v>
      </c>
      <c r="H169" t="s">
        <v>15</v>
      </c>
      <c r="I169">
        <f t="shared" si="4"/>
        <v>40</v>
      </c>
      <c r="J169" s="1">
        <f t="shared" si="5"/>
        <v>20</v>
      </c>
    </row>
    <row r="170" spans="1:10">
      <c r="A170">
        <v>1169</v>
      </c>
      <c r="B170" t="s">
        <v>196</v>
      </c>
      <c r="C170" t="s">
        <v>27</v>
      </c>
      <c r="D170" t="s">
        <v>12</v>
      </c>
      <c r="E170" t="s">
        <v>19</v>
      </c>
      <c r="F170">
        <v>1563891</v>
      </c>
      <c r="G170" t="s">
        <v>20</v>
      </c>
      <c r="H170" t="s">
        <v>21</v>
      </c>
      <c r="I170">
        <f t="shared" si="4"/>
        <v>40</v>
      </c>
      <c r="J170" s="1">
        <f t="shared" si="5"/>
        <v>10</v>
      </c>
    </row>
    <row r="171" spans="1:10">
      <c r="A171">
        <v>1170</v>
      </c>
      <c r="B171" t="s">
        <v>197</v>
      </c>
      <c r="C171" t="s">
        <v>27</v>
      </c>
      <c r="D171" t="s">
        <v>12</v>
      </c>
      <c r="E171" t="s">
        <v>13</v>
      </c>
      <c r="F171">
        <v>1799561</v>
      </c>
      <c r="G171" t="s">
        <v>14</v>
      </c>
      <c r="H171" t="s">
        <v>15</v>
      </c>
      <c r="I171">
        <f t="shared" si="4"/>
        <v>20</v>
      </c>
      <c r="J171" s="1">
        <f t="shared" si="5"/>
        <v>10</v>
      </c>
    </row>
    <row r="172" spans="1:10">
      <c r="A172">
        <v>1171</v>
      </c>
      <c r="B172" t="s">
        <v>198</v>
      </c>
      <c r="C172" t="s">
        <v>54</v>
      </c>
      <c r="D172" t="s">
        <v>18</v>
      </c>
      <c r="E172" t="s">
        <v>25</v>
      </c>
      <c r="F172">
        <v>550742</v>
      </c>
      <c r="G172" t="s">
        <v>14</v>
      </c>
      <c r="H172" t="s">
        <v>15</v>
      </c>
      <c r="I172">
        <f t="shared" si="4"/>
        <v>10</v>
      </c>
      <c r="J172" s="1">
        <f t="shared" si="5"/>
        <v>30</v>
      </c>
    </row>
    <row r="173" spans="1:10">
      <c r="A173">
        <v>1172</v>
      </c>
      <c r="B173" t="s">
        <v>199</v>
      </c>
      <c r="C173" t="s">
        <v>23</v>
      </c>
      <c r="D173" t="s">
        <v>24</v>
      </c>
      <c r="E173" t="s">
        <v>13</v>
      </c>
      <c r="F173">
        <v>1868146</v>
      </c>
      <c r="G173" t="s">
        <v>14</v>
      </c>
      <c r="H173" t="s">
        <v>21</v>
      </c>
      <c r="I173">
        <f t="shared" si="4"/>
        <v>20</v>
      </c>
      <c r="J173" s="1">
        <f t="shared" si="5"/>
        <v>20</v>
      </c>
    </row>
    <row r="174" spans="1:10">
      <c r="A174">
        <v>1173</v>
      </c>
      <c r="B174" t="s">
        <v>200</v>
      </c>
      <c r="C174" t="s">
        <v>27</v>
      </c>
      <c r="D174" t="s">
        <v>12</v>
      </c>
      <c r="E174" t="s">
        <v>13</v>
      </c>
      <c r="F174">
        <v>405784</v>
      </c>
      <c r="G174" t="s">
        <v>14</v>
      </c>
      <c r="H174" t="s">
        <v>21</v>
      </c>
      <c r="I174">
        <f t="shared" si="4"/>
        <v>10</v>
      </c>
      <c r="J174" s="1">
        <f t="shared" si="5"/>
        <v>10</v>
      </c>
    </row>
    <row r="175" spans="1:10">
      <c r="A175">
        <v>1174</v>
      </c>
      <c r="B175" t="s">
        <v>201</v>
      </c>
      <c r="C175" t="s">
        <v>17</v>
      </c>
      <c r="D175" t="s">
        <v>18</v>
      </c>
      <c r="E175" t="s">
        <v>25</v>
      </c>
      <c r="F175">
        <v>1943805</v>
      </c>
      <c r="G175" t="s">
        <v>20</v>
      </c>
      <c r="H175" t="s">
        <v>15</v>
      </c>
      <c r="I175">
        <f t="shared" si="4"/>
        <v>40</v>
      </c>
      <c r="J175" s="1">
        <f t="shared" si="5"/>
        <v>30</v>
      </c>
    </row>
    <row r="176" spans="1:10">
      <c r="A176">
        <v>1175</v>
      </c>
      <c r="B176" t="s">
        <v>202</v>
      </c>
      <c r="C176" t="s">
        <v>27</v>
      </c>
      <c r="D176" t="s">
        <v>12</v>
      </c>
      <c r="E176" t="s">
        <v>25</v>
      </c>
      <c r="F176">
        <v>1091333</v>
      </c>
      <c r="G176" t="s">
        <v>20</v>
      </c>
      <c r="H176" t="s">
        <v>15</v>
      </c>
      <c r="I176">
        <f t="shared" si="4"/>
        <v>40</v>
      </c>
      <c r="J176" s="1">
        <f t="shared" si="5"/>
        <v>10</v>
      </c>
    </row>
    <row r="177" spans="1:10">
      <c r="A177">
        <v>1176</v>
      </c>
      <c r="B177" t="s">
        <v>203</v>
      </c>
      <c r="C177" t="s">
        <v>39</v>
      </c>
      <c r="D177" t="s">
        <v>12</v>
      </c>
      <c r="E177" t="s">
        <v>34</v>
      </c>
      <c r="F177">
        <v>1333852</v>
      </c>
      <c r="G177" t="s">
        <v>20</v>
      </c>
      <c r="H177" t="s">
        <v>15</v>
      </c>
      <c r="I177">
        <f t="shared" si="4"/>
        <v>40</v>
      </c>
      <c r="J177" s="1">
        <f t="shared" si="5"/>
        <v>10</v>
      </c>
    </row>
    <row r="178" spans="1:10">
      <c r="A178">
        <v>1177</v>
      </c>
      <c r="B178" t="s">
        <v>204</v>
      </c>
      <c r="C178" t="s">
        <v>27</v>
      </c>
      <c r="D178" t="s">
        <v>12</v>
      </c>
      <c r="E178" t="s">
        <v>34</v>
      </c>
      <c r="F178">
        <v>1677676</v>
      </c>
      <c r="G178" t="s">
        <v>14</v>
      </c>
      <c r="H178" t="s">
        <v>15</v>
      </c>
      <c r="I178">
        <f t="shared" si="4"/>
        <v>20</v>
      </c>
      <c r="J178" s="1">
        <f t="shared" si="5"/>
        <v>10</v>
      </c>
    </row>
    <row r="179" spans="1:10">
      <c r="A179">
        <v>1178</v>
      </c>
      <c r="B179" t="s">
        <v>205</v>
      </c>
      <c r="C179" t="s">
        <v>39</v>
      </c>
      <c r="D179" t="s">
        <v>12</v>
      </c>
      <c r="E179" t="s">
        <v>25</v>
      </c>
      <c r="F179">
        <v>512459</v>
      </c>
      <c r="G179" t="s">
        <v>14</v>
      </c>
      <c r="H179" t="s">
        <v>21</v>
      </c>
      <c r="I179">
        <f t="shared" si="4"/>
        <v>10</v>
      </c>
      <c r="J179" s="1">
        <f t="shared" si="5"/>
        <v>10</v>
      </c>
    </row>
    <row r="180" spans="1:10">
      <c r="A180">
        <v>1179</v>
      </c>
      <c r="B180" t="s">
        <v>206</v>
      </c>
      <c r="C180" t="s">
        <v>39</v>
      </c>
      <c r="D180" t="s">
        <v>12</v>
      </c>
      <c r="E180" t="s">
        <v>13</v>
      </c>
      <c r="F180">
        <v>1303129</v>
      </c>
      <c r="G180" t="s">
        <v>14</v>
      </c>
      <c r="H180" t="s">
        <v>21</v>
      </c>
      <c r="I180">
        <f t="shared" si="4"/>
        <v>20</v>
      </c>
      <c r="J180" s="1">
        <f t="shared" si="5"/>
        <v>10</v>
      </c>
    </row>
    <row r="181" spans="1:10">
      <c r="A181">
        <v>1180</v>
      </c>
      <c r="B181" t="s">
        <v>207</v>
      </c>
      <c r="C181" t="s">
        <v>23</v>
      </c>
      <c r="D181" t="s">
        <v>24</v>
      </c>
      <c r="E181" t="s">
        <v>19</v>
      </c>
      <c r="F181">
        <v>517067</v>
      </c>
      <c r="G181" t="s">
        <v>20</v>
      </c>
      <c r="H181" t="s">
        <v>21</v>
      </c>
      <c r="I181">
        <f t="shared" si="4"/>
        <v>40</v>
      </c>
      <c r="J181" s="1">
        <f t="shared" si="5"/>
        <v>20</v>
      </c>
    </row>
    <row r="182" spans="1:10">
      <c r="A182">
        <v>1181</v>
      </c>
      <c r="B182" t="s">
        <v>208</v>
      </c>
      <c r="C182" t="s">
        <v>17</v>
      </c>
      <c r="D182" t="s">
        <v>18</v>
      </c>
      <c r="E182" t="s">
        <v>25</v>
      </c>
      <c r="F182">
        <v>448427</v>
      </c>
      <c r="G182" t="s">
        <v>20</v>
      </c>
      <c r="H182" t="s">
        <v>21</v>
      </c>
      <c r="I182">
        <f t="shared" si="4"/>
        <v>40</v>
      </c>
      <c r="J182" s="1">
        <f t="shared" si="5"/>
        <v>30</v>
      </c>
    </row>
    <row r="183" spans="1:10">
      <c r="A183">
        <v>1182</v>
      </c>
      <c r="B183" t="s">
        <v>209</v>
      </c>
      <c r="C183" t="s">
        <v>17</v>
      </c>
      <c r="D183" t="s">
        <v>18</v>
      </c>
      <c r="E183" t="s">
        <v>25</v>
      </c>
      <c r="F183">
        <v>1924931</v>
      </c>
      <c r="G183" t="s">
        <v>20</v>
      </c>
      <c r="H183" t="s">
        <v>15</v>
      </c>
      <c r="I183">
        <f t="shared" si="4"/>
        <v>40</v>
      </c>
      <c r="J183" s="1">
        <f t="shared" si="5"/>
        <v>30</v>
      </c>
    </row>
    <row r="184" spans="1:10">
      <c r="A184">
        <v>1183</v>
      </c>
      <c r="B184" t="s">
        <v>210</v>
      </c>
      <c r="C184" t="s">
        <v>39</v>
      </c>
      <c r="D184" t="s">
        <v>12</v>
      </c>
      <c r="E184" t="s">
        <v>19</v>
      </c>
      <c r="F184">
        <v>1950893</v>
      </c>
      <c r="G184" t="s">
        <v>20</v>
      </c>
      <c r="H184" t="s">
        <v>21</v>
      </c>
      <c r="I184">
        <f t="shared" si="4"/>
        <v>40</v>
      </c>
      <c r="J184" s="1">
        <f t="shared" si="5"/>
        <v>10</v>
      </c>
    </row>
    <row r="185" spans="1:10">
      <c r="A185">
        <v>1184</v>
      </c>
      <c r="B185" t="s">
        <v>211</v>
      </c>
      <c r="C185" t="s">
        <v>11</v>
      </c>
      <c r="D185" t="s">
        <v>12</v>
      </c>
      <c r="E185" t="s">
        <v>13</v>
      </c>
      <c r="F185">
        <v>563198</v>
      </c>
      <c r="G185" t="s">
        <v>20</v>
      </c>
      <c r="H185" t="s">
        <v>21</v>
      </c>
      <c r="I185">
        <f t="shared" si="4"/>
        <v>40</v>
      </c>
      <c r="J185" s="1">
        <f t="shared" si="5"/>
        <v>10</v>
      </c>
    </row>
    <row r="186" spans="1:10">
      <c r="A186">
        <v>1185</v>
      </c>
      <c r="B186" t="s">
        <v>212</v>
      </c>
      <c r="C186" t="s">
        <v>23</v>
      </c>
      <c r="D186" t="s">
        <v>24</v>
      </c>
      <c r="E186" t="s">
        <v>30</v>
      </c>
      <c r="F186">
        <v>951097</v>
      </c>
      <c r="G186" t="s">
        <v>14</v>
      </c>
      <c r="H186" t="s">
        <v>15</v>
      </c>
      <c r="I186">
        <f t="shared" si="4"/>
        <v>10</v>
      </c>
      <c r="J186" s="1">
        <f t="shared" si="5"/>
        <v>20</v>
      </c>
    </row>
    <row r="187" spans="1:10">
      <c r="A187">
        <v>1186</v>
      </c>
      <c r="B187" t="s">
        <v>213</v>
      </c>
      <c r="C187" t="s">
        <v>39</v>
      </c>
      <c r="D187" t="s">
        <v>12</v>
      </c>
      <c r="E187" t="s">
        <v>30</v>
      </c>
      <c r="F187">
        <v>1038280</v>
      </c>
      <c r="G187" t="s">
        <v>20</v>
      </c>
      <c r="H187" t="s">
        <v>21</v>
      </c>
      <c r="I187">
        <f t="shared" si="4"/>
        <v>40</v>
      </c>
      <c r="J187" s="1">
        <f t="shared" si="5"/>
        <v>10</v>
      </c>
    </row>
    <row r="188" spans="1:10">
      <c r="A188">
        <v>1187</v>
      </c>
      <c r="B188" t="s">
        <v>214</v>
      </c>
      <c r="C188" t="s">
        <v>27</v>
      </c>
      <c r="D188" t="s">
        <v>12</v>
      </c>
      <c r="E188" t="s">
        <v>30</v>
      </c>
      <c r="F188">
        <v>683078</v>
      </c>
      <c r="G188" t="s">
        <v>20</v>
      </c>
      <c r="H188" t="s">
        <v>21</v>
      </c>
      <c r="I188">
        <f t="shared" si="4"/>
        <v>40</v>
      </c>
      <c r="J188" s="1">
        <f t="shared" si="5"/>
        <v>10</v>
      </c>
    </row>
    <row r="189" spans="1:10">
      <c r="A189">
        <v>1188</v>
      </c>
      <c r="B189" t="s">
        <v>215</v>
      </c>
      <c r="C189" t="s">
        <v>54</v>
      </c>
      <c r="D189" t="s">
        <v>18</v>
      </c>
      <c r="E189" t="s">
        <v>30</v>
      </c>
      <c r="F189">
        <v>1435467</v>
      </c>
      <c r="G189" t="s">
        <v>20</v>
      </c>
      <c r="H189" t="s">
        <v>15</v>
      </c>
      <c r="I189">
        <f t="shared" si="4"/>
        <v>40</v>
      </c>
      <c r="J189" s="1">
        <f t="shared" si="5"/>
        <v>30</v>
      </c>
    </row>
    <row r="190" spans="1:10">
      <c r="A190">
        <v>1189</v>
      </c>
      <c r="B190" t="s">
        <v>216</v>
      </c>
      <c r="C190" t="s">
        <v>54</v>
      </c>
      <c r="D190" t="s">
        <v>18</v>
      </c>
      <c r="E190" t="s">
        <v>30</v>
      </c>
      <c r="F190">
        <v>665244</v>
      </c>
      <c r="G190" t="s">
        <v>20</v>
      </c>
      <c r="H190" t="s">
        <v>15</v>
      </c>
      <c r="I190">
        <f t="shared" si="4"/>
        <v>40</v>
      </c>
      <c r="J190" s="1">
        <f t="shared" si="5"/>
        <v>30</v>
      </c>
    </row>
    <row r="191" spans="1:10">
      <c r="A191">
        <v>1190</v>
      </c>
      <c r="B191" t="s">
        <v>217</v>
      </c>
      <c r="C191" t="s">
        <v>17</v>
      </c>
      <c r="D191" t="s">
        <v>18</v>
      </c>
      <c r="E191" t="s">
        <v>19</v>
      </c>
      <c r="F191">
        <v>1153834</v>
      </c>
      <c r="G191" t="s">
        <v>14</v>
      </c>
      <c r="H191" t="s">
        <v>15</v>
      </c>
      <c r="I191">
        <f t="shared" si="4"/>
        <v>20</v>
      </c>
      <c r="J191" s="1">
        <f t="shared" si="5"/>
        <v>30</v>
      </c>
    </row>
    <row r="192" spans="1:10">
      <c r="A192">
        <v>1191</v>
      </c>
      <c r="B192" t="s">
        <v>218</v>
      </c>
      <c r="C192" t="s">
        <v>17</v>
      </c>
      <c r="D192" t="s">
        <v>18</v>
      </c>
      <c r="E192" t="s">
        <v>13</v>
      </c>
      <c r="F192">
        <v>599680</v>
      </c>
      <c r="G192" t="s">
        <v>20</v>
      </c>
      <c r="H192" t="s">
        <v>21</v>
      </c>
      <c r="I192">
        <f t="shared" si="4"/>
        <v>40</v>
      </c>
      <c r="J192" s="1">
        <f t="shared" si="5"/>
        <v>30</v>
      </c>
    </row>
    <row r="193" spans="1:10">
      <c r="A193">
        <v>1192</v>
      </c>
      <c r="B193" t="s">
        <v>219</v>
      </c>
      <c r="C193" t="s">
        <v>54</v>
      </c>
      <c r="D193" t="s">
        <v>18</v>
      </c>
      <c r="E193" t="s">
        <v>19</v>
      </c>
      <c r="F193">
        <v>479028</v>
      </c>
      <c r="G193" t="s">
        <v>14</v>
      </c>
      <c r="H193" t="s">
        <v>15</v>
      </c>
      <c r="I193">
        <f t="shared" si="4"/>
        <v>10</v>
      </c>
      <c r="J193" s="1">
        <f t="shared" si="5"/>
        <v>30</v>
      </c>
    </row>
    <row r="194" spans="1:10">
      <c r="A194">
        <v>1193</v>
      </c>
      <c r="B194" t="s">
        <v>220</v>
      </c>
      <c r="C194" t="s">
        <v>39</v>
      </c>
      <c r="D194" t="s">
        <v>12</v>
      </c>
      <c r="E194" t="s">
        <v>13</v>
      </c>
      <c r="F194">
        <v>717785</v>
      </c>
      <c r="G194" t="s">
        <v>14</v>
      </c>
      <c r="H194" t="s">
        <v>15</v>
      </c>
      <c r="I194">
        <f t="shared" si="4"/>
        <v>10</v>
      </c>
      <c r="J194" s="1">
        <f t="shared" si="5"/>
        <v>10</v>
      </c>
    </row>
    <row r="195" spans="1:10">
      <c r="A195">
        <v>1194</v>
      </c>
      <c r="B195" t="s">
        <v>221</v>
      </c>
      <c r="C195" t="s">
        <v>39</v>
      </c>
      <c r="D195" t="s">
        <v>12</v>
      </c>
      <c r="E195" t="s">
        <v>13</v>
      </c>
      <c r="F195">
        <v>1582196</v>
      </c>
      <c r="G195" t="s">
        <v>14</v>
      </c>
      <c r="H195" t="s">
        <v>15</v>
      </c>
      <c r="I195">
        <f t="shared" ref="I195:I258" si="6">IF(TRIM(LOWER(G195))="yes",40,IF(VALUE(F195)&gt;1000000,20,10))</f>
        <v>20</v>
      </c>
      <c r="J195" s="1">
        <f t="shared" ref="J195:J258" si="7">IF(OR(C195="UAE",C195="Nigeria"),30,IF(C195="USA",20,10))</f>
        <v>10</v>
      </c>
    </row>
    <row r="196" spans="1:10">
      <c r="A196">
        <v>1195</v>
      </c>
      <c r="B196" t="s">
        <v>222</v>
      </c>
      <c r="C196" t="s">
        <v>39</v>
      </c>
      <c r="D196" t="s">
        <v>12</v>
      </c>
      <c r="E196" t="s">
        <v>19</v>
      </c>
      <c r="F196">
        <v>440731</v>
      </c>
      <c r="G196" t="s">
        <v>20</v>
      </c>
      <c r="H196" t="s">
        <v>15</v>
      </c>
      <c r="I196">
        <f t="shared" si="6"/>
        <v>40</v>
      </c>
      <c r="J196" s="1">
        <f t="shared" si="7"/>
        <v>10</v>
      </c>
    </row>
    <row r="197" spans="1:10">
      <c r="A197">
        <v>1196</v>
      </c>
      <c r="B197" t="s">
        <v>223</v>
      </c>
      <c r="C197" t="s">
        <v>54</v>
      </c>
      <c r="D197" t="s">
        <v>18</v>
      </c>
      <c r="E197" t="s">
        <v>19</v>
      </c>
      <c r="F197">
        <v>1125488</v>
      </c>
      <c r="G197" t="s">
        <v>20</v>
      </c>
      <c r="H197" t="s">
        <v>15</v>
      </c>
      <c r="I197">
        <f t="shared" si="6"/>
        <v>40</v>
      </c>
      <c r="J197" s="1">
        <f t="shared" si="7"/>
        <v>30</v>
      </c>
    </row>
    <row r="198" spans="1:10">
      <c r="A198">
        <v>1197</v>
      </c>
      <c r="B198" t="s">
        <v>224</v>
      </c>
      <c r="C198" t="s">
        <v>11</v>
      </c>
      <c r="D198" t="s">
        <v>12</v>
      </c>
      <c r="E198" t="s">
        <v>13</v>
      </c>
      <c r="F198">
        <v>801799</v>
      </c>
      <c r="G198" t="s">
        <v>14</v>
      </c>
      <c r="H198" t="s">
        <v>21</v>
      </c>
      <c r="I198">
        <f t="shared" si="6"/>
        <v>10</v>
      </c>
      <c r="J198" s="1">
        <f t="shared" si="7"/>
        <v>10</v>
      </c>
    </row>
    <row r="199" spans="1:10">
      <c r="A199">
        <v>1198</v>
      </c>
      <c r="B199" t="s">
        <v>225</v>
      </c>
      <c r="C199" t="s">
        <v>54</v>
      </c>
      <c r="D199" t="s">
        <v>18</v>
      </c>
      <c r="E199" t="s">
        <v>19</v>
      </c>
      <c r="F199">
        <v>1879331</v>
      </c>
      <c r="G199" t="s">
        <v>14</v>
      </c>
      <c r="H199" t="s">
        <v>15</v>
      </c>
      <c r="I199">
        <f t="shared" si="6"/>
        <v>20</v>
      </c>
      <c r="J199" s="1">
        <f t="shared" si="7"/>
        <v>30</v>
      </c>
    </row>
    <row r="200" spans="1:10">
      <c r="A200">
        <v>1199</v>
      </c>
      <c r="B200" t="s">
        <v>226</v>
      </c>
      <c r="C200" t="s">
        <v>11</v>
      </c>
      <c r="D200" t="s">
        <v>12</v>
      </c>
      <c r="E200" t="s">
        <v>19</v>
      </c>
      <c r="F200">
        <v>1169356</v>
      </c>
      <c r="G200" t="s">
        <v>14</v>
      </c>
      <c r="H200" t="s">
        <v>21</v>
      </c>
      <c r="I200">
        <f t="shared" si="6"/>
        <v>20</v>
      </c>
      <c r="J200" s="1">
        <f t="shared" si="7"/>
        <v>10</v>
      </c>
    </row>
    <row r="201" spans="1:10">
      <c r="A201">
        <v>1200</v>
      </c>
      <c r="B201" t="s">
        <v>227</v>
      </c>
      <c r="C201" t="s">
        <v>27</v>
      </c>
      <c r="D201" t="s">
        <v>12</v>
      </c>
      <c r="E201" t="s">
        <v>13</v>
      </c>
      <c r="F201">
        <v>440736</v>
      </c>
      <c r="G201" t="s">
        <v>14</v>
      </c>
      <c r="H201" t="s">
        <v>21</v>
      </c>
      <c r="I201">
        <f t="shared" si="6"/>
        <v>10</v>
      </c>
      <c r="J201" s="1">
        <f t="shared" si="7"/>
        <v>10</v>
      </c>
    </row>
    <row r="202" spans="1:10">
      <c r="A202">
        <v>1201</v>
      </c>
      <c r="B202" t="s">
        <v>228</v>
      </c>
      <c r="C202" t="s">
        <v>54</v>
      </c>
      <c r="D202" t="s">
        <v>18</v>
      </c>
      <c r="E202" t="s">
        <v>30</v>
      </c>
      <c r="F202">
        <v>756445</v>
      </c>
      <c r="G202" t="s">
        <v>20</v>
      </c>
      <c r="H202" t="s">
        <v>21</v>
      </c>
      <c r="I202">
        <f t="shared" si="6"/>
        <v>40</v>
      </c>
      <c r="J202" s="1">
        <f t="shared" si="7"/>
        <v>30</v>
      </c>
    </row>
    <row r="203" spans="1:10">
      <c r="A203">
        <v>1202</v>
      </c>
      <c r="B203" t="s">
        <v>229</v>
      </c>
      <c r="C203" t="s">
        <v>11</v>
      </c>
      <c r="D203" t="s">
        <v>12</v>
      </c>
      <c r="E203" t="s">
        <v>25</v>
      </c>
      <c r="F203">
        <v>1957564</v>
      </c>
      <c r="G203" t="s">
        <v>14</v>
      </c>
      <c r="H203" t="s">
        <v>21</v>
      </c>
      <c r="I203">
        <f t="shared" si="6"/>
        <v>20</v>
      </c>
      <c r="J203" s="1">
        <f t="shared" si="7"/>
        <v>10</v>
      </c>
    </row>
    <row r="204" spans="1:10">
      <c r="A204">
        <v>1203</v>
      </c>
      <c r="B204" t="s">
        <v>230</v>
      </c>
      <c r="C204" t="s">
        <v>39</v>
      </c>
      <c r="D204" t="s">
        <v>12</v>
      </c>
      <c r="E204" t="s">
        <v>19</v>
      </c>
      <c r="F204">
        <v>1681204</v>
      </c>
      <c r="G204" t="s">
        <v>14</v>
      </c>
      <c r="H204" t="s">
        <v>21</v>
      </c>
      <c r="I204">
        <f t="shared" si="6"/>
        <v>20</v>
      </c>
      <c r="J204" s="1">
        <f t="shared" si="7"/>
        <v>10</v>
      </c>
    </row>
    <row r="205" spans="1:10">
      <c r="A205">
        <v>1204</v>
      </c>
      <c r="B205" t="s">
        <v>231</v>
      </c>
      <c r="C205" t="s">
        <v>54</v>
      </c>
      <c r="D205" t="s">
        <v>18</v>
      </c>
      <c r="E205" t="s">
        <v>25</v>
      </c>
      <c r="F205">
        <v>1142491</v>
      </c>
      <c r="G205" t="s">
        <v>14</v>
      </c>
      <c r="H205" t="s">
        <v>21</v>
      </c>
      <c r="I205">
        <f t="shared" si="6"/>
        <v>20</v>
      </c>
      <c r="J205" s="1">
        <f t="shared" si="7"/>
        <v>30</v>
      </c>
    </row>
    <row r="206" spans="1:10">
      <c r="A206">
        <v>1205</v>
      </c>
      <c r="B206" t="s">
        <v>232</v>
      </c>
      <c r="C206" t="s">
        <v>23</v>
      </c>
      <c r="D206" t="s">
        <v>24</v>
      </c>
      <c r="E206" t="s">
        <v>34</v>
      </c>
      <c r="F206">
        <v>586855</v>
      </c>
      <c r="G206" t="s">
        <v>14</v>
      </c>
      <c r="H206" t="s">
        <v>15</v>
      </c>
      <c r="I206">
        <f t="shared" si="6"/>
        <v>10</v>
      </c>
      <c r="J206" s="1">
        <f t="shared" si="7"/>
        <v>20</v>
      </c>
    </row>
    <row r="207" spans="1:10">
      <c r="A207">
        <v>1206</v>
      </c>
      <c r="B207" t="s">
        <v>233</v>
      </c>
      <c r="C207" t="s">
        <v>27</v>
      </c>
      <c r="D207" t="s">
        <v>12</v>
      </c>
      <c r="E207" t="s">
        <v>13</v>
      </c>
      <c r="F207">
        <v>1208243</v>
      </c>
      <c r="G207" t="s">
        <v>20</v>
      </c>
      <c r="H207" t="s">
        <v>15</v>
      </c>
      <c r="I207">
        <f t="shared" si="6"/>
        <v>40</v>
      </c>
      <c r="J207" s="1">
        <f t="shared" si="7"/>
        <v>10</v>
      </c>
    </row>
    <row r="208" spans="1:10">
      <c r="A208">
        <v>1207</v>
      </c>
      <c r="B208" t="s">
        <v>234</v>
      </c>
      <c r="C208" t="s">
        <v>27</v>
      </c>
      <c r="D208" t="s">
        <v>12</v>
      </c>
      <c r="E208" t="s">
        <v>25</v>
      </c>
      <c r="F208">
        <v>588697</v>
      </c>
      <c r="G208" t="s">
        <v>14</v>
      </c>
      <c r="H208" t="s">
        <v>21</v>
      </c>
      <c r="I208">
        <f t="shared" si="6"/>
        <v>10</v>
      </c>
      <c r="J208" s="1">
        <f t="shared" si="7"/>
        <v>10</v>
      </c>
    </row>
    <row r="209" spans="1:10">
      <c r="A209">
        <v>1208</v>
      </c>
      <c r="B209" t="s">
        <v>235</v>
      </c>
      <c r="C209" t="s">
        <v>39</v>
      </c>
      <c r="D209" t="s">
        <v>12</v>
      </c>
      <c r="E209" t="s">
        <v>34</v>
      </c>
      <c r="F209">
        <v>1393376</v>
      </c>
      <c r="G209" t="s">
        <v>14</v>
      </c>
      <c r="H209" t="s">
        <v>21</v>
      </c>
      <c r="I209">
        <f t="shared" si="6"/>
        <v>20</v>
      </c>
      <c r="J209" s="1">
        <f t="shared" si="7"/>
        <v>10</v>
      </c>
    </row>
    <row r="210" spans="1:10">
      <c r="A210">
        <v>1209</v>
      </c>
      <c r="B210" t="s">
        <v>236</v>
      </c>
      <c r="C210" t="s">
        <v>27</v>
      </c>
      <c r="D210" t="s">
        <v>12</v>
      </c>
      <c r="E210" t="s">
        <v>25</v>
      </c>
      <c r="F210">
        <v>743575</v>
      </c>
      <c r="G210" t="s">
        <v>14</v>
      </c>
      <c r="H210" t="s">
        <v>21</v>
      </c>
      <c r="I210">
        <f t="shared" si="6"/>
        <v>10</v>
      </c>
      <c r="J210" s="1">
        <f t="shared" si="7"/>
        <v>10</v>
      </c>
    </row>
    <row r="211" spans="1:10">
      <c r="A211">
        <v>1210</v>
      </c>
      <c r="B211" t="s">
        <v>237</v>
      </c>
      <c r="C211" t="s">
        <v>27</v>
      </c>
      <c r="D211" t="s">
        <v>12</v>
      </c>
      <c r="E211" t="s">
        <v>25</v>
      </c>
      <c r="F211">
        <v>1837617</v>
      </c>
      <c r="G211" t="s">
        <v>14</v>
      </c>
      <c r="H211" t="s">
        <v>21</v>
      </c>
      <c r="I211">
        <f t="shared" si="6"/>
        <v>20</v>
      </c>
      <c r="J211" s="1">
        <f t="shared" si="7"/>
        <v>10</v>
      </c>
    </row>
    <row r="212" spans="1:10">
      <c r="A212">
        <v>1211</v>
      </c>
      <c r="B212" t="s">
        <v>238</v>
      </c>
      <c r="C212" t="s">
        <v>23</v>
      </c>
      <c r="D212" t="s">
        <v>24</v>
      </c>
      <c r="E212" t="s">
        <v>30</v>
      </c>
      <c r="F212">
        <v>680044</v>
      </c>
      <c r="G212" t="s">
        <v>14</v>
      </c>
      <c r="H212" t="s">
        <v>21</v>
      </c>
      <c r="I212">
        <f t="shared" si="6"/>
        <v>10</v>
      </c>
      <c r="J212" s="1">
        <f t="shared" si="7"/>
        <v>20</v>
      </c>
    </row>
    <row r="213" spans="1:10">
      <c r="A213">
        <v>1212</v>
      </c>
      <c r="B213" t="s">
        <v>239</v>
      </c>
      <c r="C213" t="s">
        <v>27</v>
      </c>
      <c r="D213" t="s">
        <v>12</v>
      </c>
      <c r="E213" t="s">
        <v>34</v>
      </c>
      <c r="F213">
        <v>1164187</v>
      </c>
      <c r="G213" t="s">
        <v>20</v>
      </c>
      <c r="H213" t="s">
        <v>15</v>
      </c>
      <c r="I213">
        <f t="shared" si="6"/>
        <v>40</v>
      </c>
      <c r="J213" s="1">
        <f t="shared" si="7"/>
        <v>10</v>
      </c>
    </row>
    <row r="214" spans="1:10">
      <c r="A214">
        <v>1213</v>
      </c>
      <c r="B214" t="s">
        <v>240</v>
      </c>
      <c r="C214" t="s">
        <v>39</v>
      </c>
      <c r="D214" t="s">
        <v>12</v>
      </c>
      <c r="E214" t="s">
        <v>13</v>
      </c>
      <c r="F214">
        <v>1631915</v>
      </c>
      <c r="G214" t="s">
        <v>20</v>
      </c>
      <c r="H214" t="s">
        <v>21</v>
      </c>
      <c r="I214">
        <f t="shared" si="6"/>
        <v>40</v>
      </c>
      <c r="J214" s="1">
        <f t="shared" si="7"/>
        <v>10</v>
      </c>
    </row>
    <row r="215" spans="1:10">
      <c r="A215">
        <v>1214</v>
      </c>
      <c r="B215" t="s">
        <v>241</v>
      </c>
      <c r="C215" t="s">
        <v>39</v>
      </c>
      <c r="D215" t="s">
        <v>12</v>
      </c>
      <c r="E215" t="s">
        <v>30</v>
      </c>
      <c r="F215">
        <v>373637</v>
      </c>
      <c r="G215" t="s">
        <v>14</v>
      </c>
      <c r="H215" t="s">
        <v>15</v>
      </c>
      <c r="I215">
        <f t="shared" si="6"/>
        <v>10</v>
      </c>
      <c r="J215" s="1">
        <f t="shared" si="7"/>
        <v>10</v>
      </c>
    </row>
    <row r="216" spans="1:10">
      <c r="A216">
        <v>1215</v>
      </c>
      <c r="B216" t="s">
        <v>242</v>
      </c>
      <c r="C216" t="s">
        <v>39</v>
      </c>
      <c r="D216" t="s">
        <v>12</v>
      </c>
      <c r="E216" t="s">
        <v>30</v>
      </c>
      <c r="F216">
        <v>1591323</v>
      </c>
      <c r="G216" t="s">
        <v>20</v>
      </c>
      <c r="H216" t="s">
        <v>21</v>
      </c>
      <c r="I216">
        <f t="shared" si="6"/>
        <v>40</v>
      </c>
      <c r="J216" s="1">
        <f t="shared" si="7"/>
        <v>10</v>
      </c>
    </row>
    <row r="217" spans="1:10">
      <c r="A217">
        <v>1216</v>
      </c>
      <c r="B217" t="s">
        <v>243</v>
      </c>
      <c r="C217" t="s">
        <v>11</v>
      </c>
      <c r="D217" t="s">
        <v>12</v>
      </c>
      <c r="E217" t="s">
        <v>19</v>
      </c>
      <c r="F217">
        <v>1143044</v>
      </c>
      <c r="G217" t="s">
        <v>20</v>
      </c>
      <c r="H217" t="s">
        <v>21</v>
      </c>
      <c r="I217">
        <f t="shared" si="6"/>
        <v>40</v>
      </c>
      <c r="J217" s="1">
        <f t="shared" si="7"/>
        <v>10</v>
      </c>
    </row>
    <row r="218" spans="1:10">
      <c r="A218">
        <v>1217</v>
      </c>
      <c r="B218" t="s">
        <v>244</v>
      </c>
      <c r="C218" t="s">
        <v>23</v>
      </c>
      <c r="D218" t="s">
        <v>24</v>
      </c>
      <c r="E218" t="s">
        <v>19</v>
      </c>
      <c r="F218">
        <v>1292445</v>
      </c>
      <c r="G218" t="s">
        <v>20</v>
      </c>
      <c r="H218" t="s">
        <v>15</v>
      </c>
      <c r="I218">
        <f t="shared" si="6"/>
        <v>40</v>
      </c>
      <c r="J218" s="1">
        <f t="shared" si="7"/>
        <v>20</v>
      </c>
    </row>
    <row r="219" spans="1:10">
      <c r="A219">
        <v>1218</v>
      </c>
      <c r="B219" t="s">
        <v>245</v>
      </c>
      <c r="C219" t="s">
        <v>54</v>
      </c>
      <c r="D219" t="s">
        <v>18</v>
      </c>
      <c r="E219" t="s">
        <v>34</v>
      </c>
      <c r="F219">
        <v>804587</v>
      </c>
      <c r="G219" t="s">
        <v>20</v>
      </c>
      <c r="H219" t="s">
        <v>15</v>
      </c>
      <c r="I219">
        <f t="shared" si="6"/>
        <v>40</v>
      </c>
      <c r="J219" s="1">
        <f t="shared" si="7"/>
        <v>30</v>
      </c>
    </row>
    <row r="220" spans="1:10">
      <c r="A220">
        <v>1219</v>
      </c>
      <c r="B220" t="s">
        <v>246</v>
      </c>
      <c r="C220" t="s">
        <v>11</v>
      </c>
      <c r="D220" t="s">
        <v>12</v>
      </c>
      <c r="E220" t="s">
        <v>19</v>
      </c>
      <c r="F220">
        <v>1451359</v>
      </c>
      <c r="G220" t="s">
        <v>20</v>
      </c>
      <c r="H220" t="s">
        <v>15</v>
      </c>
      <c r="I220">
        <f t="shared" si="6"/>
        <v>40</v>
      </c>
      <c r="J220" s="1">
        <f t="shared" si="7"/>
        <v>10</v>
      </c>
    </row>
    <row r="221" spans="1:10">
      <c r="A221">
        <v>1220</v>
      </c>
      <c r="B221" t="s">
        <v>247</v>
      </c>
      <c r="C221" t="s">
        <v>17</v>
      </c>
      <c r="D221" t="s">
        <v>18</v>
      </c>
      <c r="E221" t="s">
        <v>19</v>
      </c>
      <c r="F221">
        <v>1438695</v>
      </c>
      <c r="G221" t="s">
        <v>20</v>
      </c>
      <c r="H221" t="s">
        <v>21</v>
      </c>
      <c r="I221">
        <f t="shared" si="6"/>
        <v>40</v>
      </c>
      <c r="J221" s="1">
        <f t="shared" si="7"/>
        <v>30</v>
      </c>
    </row>
    <row r="222" spans="1:10">
      <c r="A222">
        <v>1221</v>
      </c>
      <c r="B222" t="s">
        <v>248</v>
      </c>
      <c r="C222" t="s">
        <v>23</v>
      </c>
      <c r="D222" t="s">
        <v>24</v>
      </c>
      <c r="E222" t="s">
        <v>25</v>
      </c>
      <c r="F222">
        <v>379689</v>
      </c>
      <c r="G222" t="s">
        <v>14</v>
      </c>
      <c r="H222" t="s">
        <v>21</v>
      </c>
      <c r="I222">
        <f t="shared" si="6"/>
        <v>10</v>
      </c>
      <c r="J222" s="1">
        <f t="shared" si="7"/>
        <v>20</v>
      </c>
    </row>
    <row r="223" spans="1:10">
      <c r="A223">
        <v>1222</v>
      </c>
      <c r="B223" t="s">
        <v>249</v>
      </c>
      <c r="C223" t="s">
        <v>39</v>
      </c>
      <c r="D223" t="s">
        <v>12</v>
      </c>
      <c r="E223" t="s">
        <v>30</v>
      </c>
      <c r="F223">
        <v>1477975</v>
      </c>
      <c r="G223" t="s">
        <v>14</v>
      </c>
      <c r="H223" t="s">
        <v>15</v>
      </c>
      <c r="I223">
        <f t="shared" si="6"/>
        <v>20</v>
      </c>
      <c r="J223" s="1">
        <f t="shared" si="7"/>
        <v>10</v>
      </c>
    </row>
    <row r="224" spans="1:10">
      <c r="A224">
        <v>1223</v>
      </c>
      <c r="B224" t="s">
        <v>250</v>
      </c>
      <c r="C224" t="s">
        <v>27</v>
      </c>
      <c r="D224" t="s">
        <v>12</v>
      </c>
      <c r="E224" t="s">
        <v>19</v>
      </c>
      <c r="F224">
        <v>1075807</v>
      </c>
      <c r="G224" t="s">
        <v>14</v>
      </c>
      <c r="H224" t="s">
        <v>21</v>
      </c>
      <c r="I224">
        <f t="shared" si="6"/>
        <v>20</v>
      </c>
      <c r="J224" s="1">
        <f t="shared" si="7"/>
        <v>10</v>
      </c>
    </row>
    <row r="225" spans="1:10">
      <c r="A225">
        <v>1224</v>
      </c>
      <c r="B225" t="s">
        <v>251</v>
      </c>
      <c r="C225" t="s">
        <v>11</v>
      </c>
      <c r="D225" t="s">
        <v>12</v>
      </c>
      <c r="E225" t="s">
        <v>30</v>
      </c>
      <c r="F225">
        <v>946533</v>
      </c>
      <c r="G225" t="s">
        <v>20</v>
      </c>
      <c r="H225" t="s">
        <v>21</v>
      </c>
      <c r="I225">
        <f t="shared" si="6"/>
        <v>40</v>
      </c>
      <c r="J225" s="1">
        <f t="shared" si="7"/>
        <v>10</v>
      </c>
    </row>
    <row r="226" spans="1:10">
      <c r="A226">
        <v>1225</v>
      </c>
      <c r="B226" t="s">
        <v>252</v>
      </c>
      <c r="C226" t="s">
        <v>27</v>
      </c>
      <c r="D226" t="s">
        <v>12</v>
      </c>
      <c r="E226" t="s">
        <v>25</v>
      </c>
      <c r="F226">
        <v>1390047</v>
      </c>
      <c r="G226" t="s">
        <v>20</v>
      </c>
      <c r="H226" t="s">
        <v>15</v>
      </c>
      <c r="I226">
        <f t="shared" si="6"/>
        <v>40</v>
      </c>
      <c r="J226" s="1">
        <f t="shared" si="7"/>
        <v>10</v>
      </c>
    </row>
    <row r="227" spans="1:10">
      <c r="A227">
        <v>1226</v>
      </c>
      <c r="B227" t="s">
        <v>253</v>
      </c>
      <c r="C227" t="s">
        <v>17</v>
      </c>
      <c r="D227" t="s">
        <v>18</v>
      </c>
      <c r="E227" t="s">
        <v>13</v>
      </c>
      <c r="F227">
        <v>447032</v>
      </c>
      <c r="G227" t="s">
        <v>20</v>
      </c>
      <c r="H227" t="s">
        <v>21</v>
      </c>
      <c r="I227">
        <f t="shared" si="6"/>
        <v>40</v>
      </c>
      <c r="J227" s="1">
        <f t="shared" si="7"/>
        <v>30</v>
      </c>
    </row>
    <row r="228" spans="1:10">
      <c r="A228">
        <v>1227</v>
      </c>
      <c r="B228" t="s">
        <v>254</v>
      </c>
      <c r="C228" t="s">
        <v>39</v>
      </c>
      <c r="D228" t="s">
        <v>12</v>
      </c>
      <c r="E228" t="s">
        <v>13</v>
      </c>
      <c r="F228">
        <v>481713</v>
      </c>
      <c r="G228" t="s">
        <v>14</v>
      </c>
      <c r="H228" t="s">
        <v>15</v>
      </c>
      <c r="I228">
        <f t="shared" si="6"/>
        <v>10</v>
      </c>
      <c r="J228" s="1">
        <f t="shared" si="7"/>
        <v>10</v>
      </c>
    </row>
    <row r="229" spans="1:10">
      <c r="A229">
        <v>1228</v>
      </c>
      <c r="B229" t="s">
        <v>255</v>
      </c>
      <c r="C229" t="s">
        <v>27</v>
      </c>
      <c r="D229" t="s">
        <v>12</v>
      </c>
      <c r="E229" t="s">
        <v>19</v>
      </c>
      <c r="F229">
        <v>1502786</v>
      </c>
      <c r="G229" t="s">
        <v>20</v>
      </c>
      <c r="H229" t="s">
        <v>21</v>
      </c>
      <c r="I229">
        <f t="shared" si="6"/>
        <v>40</v>
      </c>
      <c r="J229" s="1">
        <f t="shared" si="7"/>
        <v>10</v>
      </c>
    </row>
    <row r="230" spans="1:10">
      <c r="A230">
        <v>1229</v>
      </c>
      <c r="B230" t="s">
        <v>256</v>
      </c>
      <c r="C230" t="s">
        <v>27</v>
      </c>
      <c r="D230" t="s">
        <v>12</v>
      </c>
      <c r="E230" t="s">
        <v>25</v>
      </c>
      <c r="F230">
        <v>1632630</v>
      </c>
      <c r="G230" t="s">
        <v>14</v>
      </c>
      <c r="H230" t="s">
        <v>21</v>
      </c>
      <c r="I230">
        <f t="shared" si="6"/>
        <v>20</v>
      </c>
      <c r="J230" s="1">
        <f t="shared" si="7"/>
        <v>10</v>
      </c>
    </row>
    <row r="231" spans="1:10">
      <c r="A231">
        <v>1230</v>
      </c>
      <c r="B231" t="s">
        <v>257</v>
      </c>
      <c r="C231" t="s">
        <v>17</v>
      </c>
      <c r="D231" t="s">
        <v>18</v>
      </c>
      <c r="E231" t="s">
        <v>19</v>
      </c>
      <c r="F231">
        <v>1304805</v>
      </c>
      <c r="G231" t="s">
        <v>14</v>
      </c>
      <c r="H231" t="s">
        <v>21</v>
      </c>
      <c r="I231">
        <f t="shared" si="6"/>
        <v>20</v>
      </c>
      <c r="J231" s="1">
        <f t="shared" si="7"/>
        <v>30</v>
      </c>
    </row>
    <row r="232" spans="1:10">
      <c r="A232">
        <v>1231</v>
      </c>
      <c r="B232" t="s">
        <v>258</v>
      </c>
      <c r="C232" t="s">
        <v>39</v>
      </c>
      <c r="D232" t="s">
        <v>12</v>
      </c>
      <c r="E232" t="s">
        <v>30</v>
      </c>
      <c r="F232">
        <v>454884</v>
      </c>
      <c r="G232" t="s">
        <v>14</v>
      </c>
      <c r="H232" t="s">
        <v>21</v>
      </c>
      <c r="I232">
        <f t="shared" si="6"/>
        <v>10</v>
      </c>
      <c r="J232" s="1">
        <f t="shared" si="7"/>
        <v>10</v>
      </c>
    </row>
    <row r="233" spans="1:10">
      <c r="A233">
        <v>1232</v>
      </c>
      <c r="B233" t="s">
        <v>259</v>
      </c>
      <c r="C233" t="s">
        <v>17</v>
      </c>
      <c r="D233" t="s">
        <v>18</v>
      </c>
      <c r="E233" t="s">
        <v>34</v>
      </c>
      <c r="F233">
        <v>591549</v>
      </c>
      <c r="G233" t="s">
        <v>14</v>
      </c>
      <c r="H233" t="s">
        <v>21</v>
      </c>
      <c r="I233">
        <f t="shared" si="6"/>
        <v>10</v>
      </c>
      <c r="J233" s="1">
        <f t="shared" si="7"/>
        <v>30</v>
      </c>
    </row>
    <row r="234" spans="1:10">
      <c r="A234">
        <v>1233</v>
      </c>
      <c r="B234" t="s">
        <v>260</v>
      </c>
      <c r="C234" t="s">
        <v>11</v>
      </c>
      <c r="D234" t="s">
        <v>12</v>
      </c>
      <c r="E234" t="s">
        <v>34</v>
      </c>
      <c r="F234">
        <v>310934</v>
      </c>
      <c r="G234" t="s">
        <v>14</v>
      </c>
      <c r="H234" t="s">
        <v>21</v>
      </c>
      <c r="I234">
        <f t="shared" si="6"/>
        <v>10</v>
      </c>
      <c r="J234" s="1">
        <f t="shared" si="7"/>
        <v>10</v>
      </c>
    </row>
    <row r="235" spans="1:10">
      <c r="A235">
        <v>1234</v>
      </c>
      <c r="B235" t="s">
        <v>261</v>
      </c>
      <c r="C235" t="s">
        <v>27</v>
      </c>
      <c r="D235" t="s">
        <v>12</v>
      </c>
      <c r="E235" t="s">
        <v>13</v>
      </c>
      <c r="F235">
        <v>374378</v>
      </c>
      <c r="G235" t="s">
        <v>20</v>
      </c>
      <c r="H235" t="s">
        <v>21</v>
      </c>
      <c r="I235">
        <f t="shared" si="6"/>
        <v>40</v>
      </c>
      <c r="J235" s="1">
        <f t="shared" si="7"/>
        <v>10</v>
      </c>
    </row>
    <row r="236" spans="1:10">
      <c r="A236">
        <v>1235</v>
      </c>
      <c r="B236" t="s">
        <v>262</v>
      </c>
      <c r="C236" t="s">
        <v>39</v>
      </c>
      <c r="D236" t="s">
        <v>12</v>
      </c>
      <c r="E236" t="s">
        <v>13</v>
      </c>
      <c r="F236">
        <v>798114</v>
      </c>
      <c r="G236" t="s">
        <v>14</v>
      </c>
      <c r="H236" t="s">
        <v>15</v>
      </c>
      <c r="I236">
        <f t="shared" si="6"/>
        <v>10</v>
      </c>
      <c r="J236" s="1">
        <f t="shared" si="7"/>
        <v>10</v>
      </c>
    </row>
    <row r="237" spans="1:10">
      <c r="A237">
        <v>1236</v>
      </c>
      <c r="B237" t="s">
        <v>263</v>
      </c>
      <c r="C237" t="s">
        <v>17</v>
      </c>
      <c r="D237" t="s">
        <v>18</v>
      </c>
      <c r="E237" t="s">
        <v>25</v>
      </c>
      <c r="F237">
        <v>1297636</v>
      </c>
      <c r="G237" t="s">
        <v>14</v>
      </c>
      <c r="H237" t="s">
        <v>21</v>
      </c>
      <c r="I237">
        <f t="shared" si="6"/>
        <v>20</v>
      </c>
      <c r="J237" s="1">
        <f t="shared" si="7"/>
        <v>30</v>
      </c>
    </row>
    <row r="238" spans="1:10">
      <c r="A238">
        <v>1237</v>
      </c>
      <c r="B238" t="s">
        <v>264</v>
      </c>
      <c r="C238" t="s">
        <v>54</v>
      </c>
      <c r="D238" t="s">
        <v>18</v>
      </c>
      <c r="E238" t="s">
        <v>30</v>
      </c>
      <c r="F238">
        <v>1841437</v>
      </c>
      <c r="G238" t="s">
        <v>20</v>
      </c>
      <c r="H238" t="s">
        <v>15</v>
      </c>
      <c r="I238">
        <f t="shared" si="6"/>
        <v>40</v>
      </c>
      <c r="J238" s="1">
        <f t="shared" si="7"/>
        <v>30</v>
      </c>
    </row>
    <row r="239" spans="1:10">
      <c r="A239">
        <v>1238</v>
      </c>
      <c r="B239" t="s">
        <v>265</v>
      </c>
      <c r="C239" t="s">
        <v>17</v>
      </c>
      <c r="D239" t="s">
        <v>18</v>
      </c>
      <c r="E239" t="s">
        <v>30</v>
      </c>
      <c r="F239">
        <v>671073</v>
      </c>
      <c r="G239" t="s">
        <v>14</v>
      </c>
      <c r="H239" t="s">
        <v>15</v>
      </c>
      <c r="I239">
        <f t="shared" si="6"/>
        <v>10</v>
      </c>
      <c r="J239" s="1">
        <f t="shared" si="7"/>
        <v>30</v>
      </c>
    </row>
    <row r="240" spans="1:10">
      <c r="A240">
        <v>1239</v>
      </c>
      <c r="B240" t="s">
        <v>266</v>
      </c>
      <c r="C240" t="s">
        <v>17</v>
      </c>
      <c r="D240" t="s">
        <v>18</v>
      </c>
      <c r="E240" t="s">
        <v>25</v>
      </c>
      <c r="F240">
        <v>343377</v>
      </c>
      <c r="G240" t="s">
        <v>20</v>
      </c>
      <c r="H240" t="s">
        <v>15</v>
      </c>
      <c r="I240">
        <f t="shared" si="6"/>
        <v>40</v>
      </c>
      <c r="J240" s="1">
        <f t="shared" si="7"/>
        <v>30</v>
      </c>
    </row>
    <row r="241" spans="1:10">
      <c r="A241">
        <v>1240</v>
      </c>
      <c r="B241" t="s">
        <v>267</v>
      </c>
      <c r="C241" t="s">
        <v>54</v>
      </c>
      <c r="D241" t="s">
        <v>18</v>
      </c>
      <c r="E241" t="s">
        <v>25</v>
      </c>
      <c r="F241">
        <v>1448746</v>
      </c>
      <c r="G241" t="s">
        <v>20</v>
      </c>
      <c r="H241" t="s">
        <v>21</v>
      </c>
      <c r="I241">
        <f t="shared" si="6"/>
        <v>40</v>
      </c>
      <c r="J241" s="1">
        <f t="shared" si="7"/>
        <v>30</v>
      </c>
    </row>
    <row r="242" spans="1:10">
      <c r="A242">
        <v>1241</v>
      </c>
      <c r="B242" t="s">
        <v>268</v>
      </c>
      <c r="C242" t="s">
        <v>27</v>
      </c>
      <c r="D242" t="s">
        <v>12</v>
      </c>
      <c r="E242" t="s">
        <v>30</v>
      </c>
      <c r="F242">
        <v>1792255</v>
      </c>
      <c r="G242" t="s">
        <v>14</v>
      </c>
      <c r="H242" t="s">
        <v>21</v>
      </c>
      <c r="I242">
        <f t="shared" si="6"/>
        <v>20</v>
      </c>
      <c r="J242" s="1">
        <f t="shared" si="7"/>
        <v>10</v>
      </c>
    </row>
    <row r="243" spans="1:10">
      <c r="A243">
        <v>1242</v>
      </c>
      <c r="B243" t="s">
        <v>269</v>
      </c>
      <c r="C243" t="s">
        <v>23</v>
      </c>
      <c r="D243" t="s">
        <v>24</v>
      </c>
      <c r="E243" t="s">
        <v>30</v>
      </c>
      <c r="F243">
        <v>966292</v>
      </c>
      <c r="G243" t="s">
        <v>20</v>
      </c>
      <c r="H243" t="s">
        <v>15</v>
      </c>
      <c r="I243">
        <f t="shared" si="6"/>
        <v>40</v>
      </c>
      <c r="J243" s="1">
        <f t="shared" si="7"/>
        <v>20</v>
      </c>
    </row>
    <row r="244" spans="1:10">
      <c r="A244">
        <v>1243</v>
      </c>
      <c r="B244" t="s">
        <v>270</v>
      </c>
      <c r="C244" t="s">
        <v>11</v>
      </c>
      <c r="D244" t="s">
        <v>12</v>
      </c>
      <c r="E244" t="s">
        <v>19</v>
      </c>
      <c r="F244">
        <v>432317</v>
      </c>
      <c r="G244" t="s">
        <v>20</v>
      </c>
      <c r="H244" t="s">
        <v>15</v>
      </c>
      <c r="I244">
        <f t="shared" si="6"/>
        <v>40</v>
      </c>
      <c r="J244" s="1">
        <f t="shared" si="7"/>
        <v>10</v>
      </c>
    </row>
    <row r="245" spans="1:10">
      <c r="A245">
        <v>1244</v>
      </c>
      <c r="B245" t="s">
        <v>271</v>
      </c>
      <c r="C245" t="s">
        <v>39</v>
      </c>
      <c r="D245" t="s">
        <v>12</v>
      </c>
      <c r="E245" t="s">
        <v>34</v>
      </c>
      <c r="F245">
        <v>1100738</v>
      </c>
      <c r="G245" t="s">
        <v>14</v>
      </c>
      <c r="H245" t="s">
        <v>21</v>
      </c>
      <c r="I245">
        <f t="shared" si="6"/>
        <v>20</v>
      </c>
      <c r="J245" s="1">
        <f t="shared" si="7"/>
        <v>10</v>
      </c>
    </row>
    <row r="246" spans="1:10">
      <c r="A246">
        <v>1245</v>
      </c>
      <c r="B246" t="s">
        <v>272</v>
      </c>
      <c r="C246" t="s">
        <v>17</v>
      </c>
      <c r="D246" t="s">
        <v>18</v>
      </c>
      <c r="E246" t="s">
        <v>34</v>
      </c>
      <c r="F246">
        <v>1032763</v>
      </c>
      <c r="G246" t="s">
        <v>14</v>
      </c>
      <c r="H246" t="s">
        <v>15</v>
      </c>
      <c r="I246">
        <f t="shared" si="6"/>
        <v>20</v>
      </c>
      <c r="J246" s="1">
        <f t="shared" si="7"/>
        <v>30</v>
      </c>
    </row>
    <row r="247" spans="1:10">
      <c r="A247">
        <v>1246</v>
      </c>
      <c r="B247" t="s">
        <v>273</v>
      </c>
      <c r="C247" t="s">
        <v>11</v>
      </c>
      <c r="D247" t="s">
        <v>12</v>
      </c>
      <c r="E247" t="s">
        <v>30</v>
      </c>
      <c r="F247">
        <v>1195074</v>
      </c>
      <c r="G247" t="s">
        <v>20</v>
      </c>
      <c r="H247" t="s">
        <v>15</v>
      </c>
      <c r="I247">
        <f t="shared" si="6"/>
        <v>40</v>
      </c>
      <c r="J247" s="1">
        <f t="shared" si="7"/>
        <v>10</v>
      </c>
    </row>
    <row r="248" spans="1:10">
      <c r="A248">
        <v>1247</v>
      </c>
      <c r="B248" t="s">
        <v>274</v>
      </c>
      <c r="C248" t="s">
        <v>17</v>
      </c>
      <c r="D248" t="s">
        <v>18</v>
      </c>
      <c r="E248" t="s">
        <v>34</v>
      </c>
      <c r="F248">
        <v>612689</v>
      </c>
      <c r="G248" t="s">
        <v>20</v>
      </c>
      <c r="H248" t="s">
        <v>15</v>
      </c>
      <c r="I248">
        <f t="shared" si="6"/>
        <v>40</v>
      </c>
      <c r="J248" s="1">
        <f t="shared" si="7"/>
        <v>30</v>
      </c>
    </row>
    <row r="249" spans="1:10">
      <c r="A249">
        <v>1248</v>
      </c>
      <c r="B249" t="s">
        <v>275</v>
      </c>
      <c r="C249" t="s">
        <v>11</v>
      </c>
      <c r="D249" t="s">
        <v>12</v>
      </c>
      <c r="E249" t="s">
        <v>30</v>
      </c>
      <c r="F249">
        <v>701788</v>
      </c>
      <c r="G249" t="s">
        <v>20</v>
      </c>
      <c r="H249" t="s">
        <v>21</v>
      </c>
      <c r="I249">
        <f t="shared" si="6"/>
        <v>40</v>
      </c>
      <c r="J249" s="1">
        <f t="shared" si="7"/>
        <v>10</v>
      </c>
    </row>
    <row r="250" spans="1:10">
      <c r="A250">
        <v>1249</v>
      </c>
      <c r="B250" t="s">
        <v>276</v>
      </c>
      <c r="C250" t="s">
        <v>11</v>
      </c>
      <c r="D250" t="s">
        <v>12</v>
      </c>
      <c r="E250" t="s">
        <v>19</v>
      </c>
      <c r="F250">
        <v>1808847</v>
      </c>
      <c r="G250" t="s">
        <v>14</v>
      </c>
      <c r="H250" t="s">
        <v>21</v>
      </c>
      <c r="I250">
        <f t="shared" si="6"/>
        <v>20</v>
      </c>
      <c r="J250" s="1">
        <f t="shared" si="7"/>
        <v>10</v>
      </c>
    </row>
    <row r="251" spans="1:10">
      <c r="A251">
        <v>1250</v>
      </c>
      <c r="B251" t="s">
        <v>277</v>
      </c>
      <c r="C251" t="s">
        <v>23</v>
      </c>
      <c r="D251" t="s">
        <v>24</v>
      </c>
      <c r="E251" t="s">
        <v>19</v>
      </c>
      <c r="F251">
        <v>1401402</v>
      </c>
      <c r="G251" t="s">
        <v>20</v>
      </c>
      <c r="H251" t="s">
        <v>15</v>
      </c>
      <c r="I251">
        <f t="shared" si="6"/>
        <v>40</v>
      </c>
      <c r="J251" s="1">
        <f t="shared" si="7"/>
        <v>20</v>
      </c>
    </row>
    <row r="252" spans="1:10">
      <c r="A252">
        <v>1251</v>
      </c>
      <c r="B252" t="s">
        <v>278</v>
      </c>
      <c r="C252" t="s">
        <v>39</v>
      </c>
      <c r="D252" t="s">
        <v>12</v>
      </c>
      <c r="E252" t="s">
        <v>13</v>
      </c>
      <c r="F252">
        <v>1886606</v>
      </c>
      <c r="G252" t="s">
        <v>14</v>
      </c>
      <c r="H252" t="s">
        <v>21</v>
      </c>
      <c r="I252">
        <f t="shared" si="6"/>
        <v>20</v>
      </c>
      <c r="J252" s="1">
        <f t="shared" si="7"/>
        <v>10</v>
      </c>
    </row>
    <row r="253" spans="1:10">
      <c r="A253">
        <v>1252</v>
      </c>
      <c r="B253" t="s">
        <v>279</v>
      </c>
      <c r="C253" t="s">
        <v>23</v>
      </c>
      <c r="D253" t="s">
        <v>24</v>
      </c>
      <c r="E253" t="s">
        <v>13</v>
      </c>
      <c r="F253">
        <v>1157978</v>
      </c>
      <c r="G253" t="s">
        <v>20</v>
      </c>
      <c r="H253" t="s">
        <v>15</v>
      </c>
      <c r="I253">
        <f t="shared" si="6"/>
        <v>40</v>
      </c>
      <c r="J253" s="1">
        <f t="shared" si="7"/>
        <v>20</v>
      </c>
    </row>
    <row r="254" spans="1:10">
      <c r="A254">
        <v>1253</v>
      </c>
      <c r="B254" t="s">
        <v>280</v>
      </c>
      <c r="C254" t="s">
        <v>27</v>
      </c>
      <c r="D254" t="s">
        <v>12</v>
      </c>
      <c r="E254" t="s">
        <v>34</v>
      </c>
      <c r="F254">
        <v>368778</v>
      </c>
      <c r="G254" t="s">
        <v>14</v>
      </c>
      <c r="H254" t="s">
        <v>15</v>
      </c>
      <c r="I254">
        <f t="shared" si="6"/>
        <v>10</v>
      </c>
      <c r="J254" s="1">
        <f t="shared" si="7"/>
        <v>10</v>
      </c>
    </row>
    <row r="255" spans="1:10">
      <c r="A255">
        <v>1254</v>
      </c>
      <c r="B255" t="s">
        <v>281</v>
      </c>
      <c r="C255" t="s">
        <v>39</v>
      </c>
      <c r="D255" t="s">
        <v>12</v>
      </c>
      <c r="E255" t="s">
        <v>19</v>
      </c>
      <c r="F255">
        <v>1908885</v>
      </c>
      <c r="G255" t="s">
        <v>20</v>
      </c>
      <c r="H255" t="s">
        <v>15</v>
      </c>
      <c r="I255">
        <f t="shared" si="6"/>
        <v>40</v>
      </c>
      <c r="J255" s="1">
        <f t="shared" si="7"/>
        <v>10</v>
      </c>
    </row>
    <row r="256" spans="1:10">
      <c r="A256">
        <v>1255</v>
      </c>
      <c r="B256" t="s">
        <v>282</v>
      </c>
      <c r="C256" t="s">
        <v>54</v>
      </c>
      <c r="D256" t="s">
        <v>18</v>
      </c>
      <c r="E256" t="s">
        <v>19</v>
      </c>
      <c r="F256">
        <v>1842922</v>
      </c>
      <c r="G256" t="s">
        <v>20</v>
      </c>
      <c r="H256" t="s">
        <v>21</v>
      </c>
      <c r="I256">
        <f t="shared" si="6"/>
        <v>40</v>
      </c>
      <c r="J256" s="1">
        <f t="shared" si="7"/>
        <v>30</v>
      </c>
    </row>
    <row r="257" spans="1:10">
      <c r="A257">
        <v>1256</v>
      </c>
      <c r="B257" t="s">
        <v>283</v>
      </c>
      <c r="C257" t="s">
        <v>27</v>
      </c>
      <c r="D257" t="s">
        <v>12</v>
      </c>
      <c r="E257" t="s">
        <v>13</v>
      </c>
      <c r="F257">
        <v>331558</v>
      </c>
      <c r="G257" t="s">
        <v>20</v>
      </c>
      <c r="H257" t="s">
        <v>21</v>
      </c>
      <c r="I257">
        <f t="shared" si="6"/>
        <v>40</v>
      </c>
      <c r="J257" s="1">
        <f t="shared" si="7"/>
        <v>10</v>
      </c>
    </row>
    <row r="258" spans="1:10">
      <c r="A258">
        <v>1257</v>
      </c>
      <c r="B258" t="s">
        <v>284</v>
      </c>
      <c r="C258" t="s">
        <v>27</v>
      </c>
      <c r="D258" t="s">
        <v>12</v>
      </c>
      <c r="E258" t="s">
        <v>30</v>
      </c>
      <c r="F258">
        <v>1385877</v>
      </c>
      <c r="G258" t="s">
        <v>20</v>
      </c>
      <c r="H258" t="s">
        <v>21</v>
      </c>
      <c r="I258">
        <f t="shared" si="6"/>
        <v>40</v>
      </c>
      <c r="J258" s="1">
        <f t="shared" si="7"/>
        <v>10</v>
      </c>
    </row>
    <row r="259" spans="1:10">
      <c r="A259">
        <v>1258</v>
      </c>
      <c r="B259" t="s">
        <v>285</v>
      </c>
      <c r="C259" t="s">
        <v>39</v>
      </c>
      <c r="D259" t="s">
        <v>12</v>
      </c>
      <c r="E259" t="s">
        <v>13</v>
      </c>
      <c r="F259">
        <v>324931</v>
      </c>
      <c r="G259" t="s">
        <v>20</v>
      </c>
      <c r="H259" t="s">
        <v>15</v>
      </c>
      <c r="I259">
        <f t="shared" ref="I259:I322" si="8">IF(TRIM(LOWER(G259))="yes",40,IF(VALUE(F259)&gt;1000000,20,10))</f>
        <v>40</v>
      </c>
      <c r="J259" s="1">
        <f t="shared" ref="J259:J322" si="9">IF(OR(C259="UAE",C259="Nigeria"),30,IF(C259="USA",20,10))</f>
        <v>10</v>
      </c>
    </row>
    <row r="260" spans="1:10">
      <c r="A260">
        <v>1259</v>
      </c>
      <c r="B260" t="s">
        <v>286</v>
      </c>
      <c r="C260" t="s">
        <v>27</v>
      </c>
      <c r="D260" t="s">
        <v>12</v>
      </c>
      <c r="E260" t="s">
        <v>34</v>
      </c>
      <c r="F260">
        <v>1859308</v>
      </c>
      <c r="G260" t="s">
        <v>20</v>
      </c>
      <c r="H260" t="s">
        <v>21</v>
      </c>
      <c r="I260">
        <f t="shared" si="8"/>
        <v>40</v>
      </c>
      <c r="J260" s="1">
        <f t="shared" si="9"/>
        <v>10</v>
      </c>
    </row>
    <row r="261" spans="1:10">
      <c r="A261">
        <v>1260</v>
      </c>
      <c r="B261" t="s">
        <v>287</v>
      </c>
      <c r="C261" t="s">
        <v>39</v>
      </c>
      <c r="D261" t="s">
        <v>12</v>
      </c>
      <c r="E261" t="s">
        <v>34</v>
      </c>
      <c r="F261">
        <v>958844</v>
      </c>
      <c r="G261" t="s">
        <v>14</v>
      </c>
      <c r="H261" t="s">
        <v>15</v>
      </c>
      <c r="I261">
        <f t="shared" si="8"/>
        <v>10</v>
      </c>
      <c r="J261" s="1">
        <f t="shared" si="9"/>
        <v>10</v>
      </c>
    </row>
    <row r="262" spans="1:10">
      <c r="A262">
        <v>1261</v>
      </c>
      <c r="B262" t="s">
        <v>288</v>
      </c>
      <c r="C262" t="s">
        <v>23</v>
      </c>
      <c r="D262" t="s">
        <v>24</v>
      </c>
      <c r="E262" t="s">
        <v>13</v>
      </c>
      <c r="F262">
        <v>1694559</v>
      </c>
      <c r="G262" t="s">
        <v>20</v>
      </c>
      <c r="H262" t="s">
        <v>21</v>
      </c>
      <c r="I262">
        <f t="shared" si="8"/>
        <v>40</v>
      </c>
      <c r="J262" s="1">
        <f t="shared" si="9"/>
        <v>20</v>
      </c>
    </row>
    <row r="263" spans="1:10">
      <c r="A263">
        <v>1262</v>
      </c>
      <c r="B263" t="s">
        <v>289</v>
      </c>
      <c r="C263" t="s">
        <v>11</v>
      </c>
      <c r="D263" t="s">
        <v>12</v>
      </c>
      <c r="E263" t="s">
        <v>30</v>
      </c>
      <c r="F263">
        <v>1288106</v>
      </c>
      <c r="G263" t="s">
        <v>20</v>
      </c>
      <c r="H263" t="s">
        <v>15</v>
      </c>
      <c r="I263">
        <f t="shared" si="8"/>
        <v>40</v>
      </c>
      <c r="J263" s="1">
        <f t="shared" si="9"/>
        <v>10</v>
      </c>
    </row>
    <row r="264" spans="1:10">
      <c r="A264">
        <v>1263</v>
      </c>
      <c r="B264" t="s">
        <v>290</v>
      </c>
      <c r="C264" t="s">
        <v>39</v>
      </c>
      <c r="D264" t="s">
        <v>12</v>
      </c>
      <c r="E264" t="s">
        <v>13</v>
      </c>
      <c r="F264">
        <v>877188</v>
      </c>
      <c r="G264" t="s">
        <v>14</v>
      </c>
      <c r="H264" t="s">
        <v>15</v>
      </c>
      <c r="I264">
        <f t="shared" si="8"/>
        <v>10</v>
      </c>
      <c r="J264" s="1">
        <f t="shared" si="9"/>
        <v>10</v>
      </c>
    </row>
    <row r="265" spans="1:10">
      <c r="A265">
        <v>1264</v>
      </c>
      <c r="B265" t="s">
        <v>291</v>
      </c>
      <c r="C265" t="s">
        <v>39</v>
      </c>
      <c r="D265" t="s">
        <v>12</v>
      </c>
      <c r="E265" t="s">
        <v>25</v>
      </c>
      <c r="F265">
        <v>403088</v>
      </c>
      <c r="G265" t="s">
        <v>14</v>
      </c>
      <c r="H265" t="s">
        <v>21</v>
      </c>
      <c r="I265">
        <f t="shared" si="8"/>
        <v>10</v>
      </c>
      <c r="J265" s="1">
        <f t="shared" si="9"/>
        <v>10</v>
      </c>
    </row>
    <row r="266" spans="1:10">
      <c r="A266">
        <v>1265</v>
      </c>
      <c r="B266" t="s">
        <v>292</v>
      </c>
      <c r="C266" t="s">
        <v>11</v>
      </c>
      <c r="D266" t="s">
        <v>12</v>
      </c>
      <c r="E266" t="s">
        <v>30</v>
      </c>
      <c r="F266">
        <v>1068301</v>
      </c>
      <c r="G266" t="s">
        <v>14</v>
      </c>
      <c r="H266" t="s">
        <v>21</v>
      </c>
      <c r="I266">
        <f t="shared" si="8"/>
        <v>20</v>
      </c>
      <c r="J266" s="1">
        <f t="shared" si="9"/>
        <v>10</v>
      </c>
    </row>
    <row r="267" spans="1:10">
      <c r="A267">
        <v>1266</v>
      </c>
      <c r="B267" t="s">
        <v>293</v>
      </c>
      <c r="C267" t="s">
        <v>11</v>
      </c>
      <c r="D267" t="s">
        <v>12</v>
      </c>
      <c r="E267" t="s">
        <v>25</v>
      </c>
      <c r="F267">
        <v>1133481</v>
      </c>
      <c r="G267" t="s">
        <v>20</v>
      </c>
      <c r="H267" t="s">
        <v>21</v>
      </c>
      <c r="I267">
        <f t="shared" si="8"/>
        <v>40</v>
      </c>
      <c r="J267" s="1">
        <f t="shared" si="9"/>
        <v>10</v>
      </c>
    </row>
    <row r="268" spans="1:10">
      <c r="A268">
        <v>1267</v>
      </c>
      <c r="B268" t="s">
        <v>294</v>
      </c>
      <c r="C268" t="s">
        <v>54</v>
      </c>
      <c r="D268" t="s">
        <v>18</v>
      </c>
      <c r="E268" t="s">
        <v>13</v>
      </c>
      <c r="F268">
        <v>1052825</v>
      </c>
      <c r="G268" t="s">
        <v>14</v>
      </c>
      <c r="H268" t="s">
        <v>21</v>
      </c>
      <c r="I268">
        <f t="shared" si="8"/>
        <v>20</v>
      </c>
      <c r="J268" s="1">
        <f t="shared" si="9"/>
        <v>30</v>
      </c>
    </row>
    <row r="269" spans="1:10">
      <c r="A269">
        <v>1268</v>
      </c>
      <c r="B269" t="s">
        <v>295</v>
      </c>
      <c r="C269" t="s">
        <v>54</v>
      </c>
      <c r="D269" t="s">
        <v>18</v>
      </c>
      <c r="E269" t="s">
        <v>25</v>
      </c>
      <c r="F269">
        <v>1388707</v>
      </c>
      <c r="G269" t="s">
        <v>14</v>
      </c>
      <c r="H269" t="s">
        <v>15</v>
      </c>
      <c r="I269">
        <f t="shared" si="8"/>
        <v>20</v>
      </c>
      <c r="J269" s="1">
        <f t="shared" si="9"/>
        <v>30</v>
      </c>
    </row>
    <row r="270" spans="1:10">
      <c r="A270">
        <v>1269</v>
      </c>
      <c r="B270" t="s">
        <v>296</v>
      </c>
      <c r="C270" t="s">
        <v>17</v>
      </c>
      <c r="D270" t="s">
        <v>18</v>
      </c>
      <c r="E270" t="s">
        <v>19</v>
      </c>
      <c r="F270">
        <v>1148019</v>
      </c>
      <c r="G270" t="s">
        <v>20</v>
      </c>
      <c r="H270" t="s">
        <v>15</v>
      </c>
      <c r="I270">
        <f t="shared" si="8"/>
        <v>40</v>
      </c>
      <c r="J270" s="1">
        <f t="shared" si="9"/>
        <v>30</v>
      </c>
    </row>
    <row r="271" spans="1:10">
      <c r="A271">
        <v>1270</v>
      </c>
      <c r="B271" t="s">
        <v>297</v>
      </c>
      <c r="C271" t="s">
        <v>17</v>
      </c>
      <c r="D271" t="s">
        <v>18</v>
      </c>
      <c r="E271" t="s">
        <v>13</v>
      </c>
      <c r="F271">
        <v>477220</v>
      </c>
      <c r="G271" t="s">
        <v>20</v>
      </c>
      <c r="H271" t="s">
        <v>15</v>
      </c>
      <c r="I271">
        <f t="shared" si="8"/>
        <v>40</v>
      </c>
      <c r="J271" s="1">
        <f t="shared" si="9"/>
        <v>30</v>
      </c>
    </row>
    <row r="272" spans="1:10">
      <c r="A272">
        <v>1271</v>
      </c>
      <c r="B272" t="s">
        <v>298</v>
      </c>
      <c r="C272" t="s">
        <v>23</v>
      </c>
      <c r="D272" t="s">
        <v>24</v>
      </c>
      <c r="E272" t="s">
        <v>25</v>
      </c>
      <c r="F272">
        <v>852044</v>
      </c>
      <c r="G272" t="s">
        <v>20</v>
      </c>
      <c r="H272" t="s">
        <v>15</v>
      </c>
      <c r="I272">
        <f t="shared" si="8"/>
        <v>40</v>
      </c>
      <c r="J272" s="1">
        <f t="shared" si="9"/>
        <v>20</v>
      </c>
    </row>
    <row r="273" spans="1:10">
      <c r="A273">
        <v>1272</v>
      </c>
      <c r="B273" t="s">
        <v>299</v>
      </c>
      <c r="C273" t="s">
        <v>39</v>
      </c>
      <c r="D273" t="s">
        <v>12</v>
      </c>
      <c r="E273" t="s">
        <v>30</v>
      </c>
      <c r="F273">
        <v>683928</v>
      </c>
      <c r="G273" t="s">
        <v>20</v>
      </c>
      <c r="H273" t="s">
        <v>21</v>
      </c>
      <c r="I273">
        <f t="shared" si="8"/>
        <v>40</v>
      </c>
      <c r="J273" s="1">
        <f t="shared" si="9"/>
        <v>10</v>
      </c>
    </row>
    <row r="274" spans="1:10">
      <c r="A274">
        <v>1273</v>
      </c>
      <c r="B274" t="s">
        <v>300</v>
      </c>
      <c r="C274" t="s">
        <v>11</v>
      </c>
      <c r="D274" t="s">
        <v>12</v>
      </c>
      <c r="E274" t="s">
        <v>30</v>
      </c>
      <c r="F274">
        <v>944695</v>
      </c>
      <c r="G274" t="s">
        <v>14</v>
      </c>
      <c r="H274" t="s">
        <v>15</v>
      </c>
      <c r="I274">
        <f t="shared" si="8"/>
        <v>10</v>
      </c>
      <c r="J274" s="1">
        <f t="shared" si="9"/>
        <v>10</v>
      </c>
    </row>
    <row r="275" spans="1:10">
      <c r="A275">
        <v>1274</v>
      </c>
      <c r="B275" t="s">
        <v>301</v>
      </c>
      <c r="C275" t="s">
        <v>11</v>
      </c>
      <c r="D275" t="s">
        <v>12</v>
      </c>
      <c r="E275" t="s">
        <v>13</v>
      </c>
      <c r="F275">
        <v>1358394</v>
      </c>
      <c r="G275" t="s">
        <v>20</v>
      </c>
      <c r="H275" t="s">
        <v>15</v>
      </c>
      <c r="I275">
        <f t="shared" si="8"/>
        <v>40</v>
      </c>
      <c r="J275" s="1">
        <f t="shared" si="9"/>
        <v>10</v>
      </c>
    </row>
    <row r="276" spans="1:10">
      <c r="A276">
        <v>1275</v>
      </c>
      <c r="B276" t="s">
        <v>302</v>
      </c>
      <c r="C276" t="s">
        <v>23</v>
      </c>
      <c r="D276" t="s">
        <v>24</v>
      </c>
      <c r="E276" t="s">
        <v>30</v>
      </c>
      <c r="F276">
        <v>685084</v>
      </c>
      <c r="G276" t="s">
        <v>20</v>
      </c>
      <c r="H276" t="s">
        <v>15</v>
      </c>
      <c r="I276">
        <f t="shared" si="8"/>
        <v>40</v>
      </c>
      <c r="J276" s="1">
        <f t="shared" si="9"/>
        <v>20</v>
      </c>
    </row>
    <row r="277" spans="1:10">
      <c r="A277">
        <v>1276</v>
      </c>
      <c r="B277" t="s">
        <v>303</v>
      </c>
      <c r="C277" t="s">
        <v>11</v>
      </c>
      <c r="D277" t="s">
        <v>12</v>
      </c>
      <c r="E277" t="s">
        <v>25</v>
      </c>
      <c r="F277">
        <v>583256</v>
      </c>
      <c r="G277" t="s">
        <v>20</v>
      </c>
      <c r="H277" t="s">
        <v>21</v>
      </c>
      <c r="I277">
        <f t="shared" si="8"/>
        <v>40</v>
      </c>
      <c r="J277" s="1">
        <f t="shared" si="9"/>
        <v>10</v>
      </c>
    </row>
    <row r="278" spans="1:10">
      <c r="A278">
        <v>1277</v>
      </c>
      <c r="B278" t="s">
        <v>304</v>
      </c>
      <c r="C278" t="s">
        <v>54</v>
      </c>
      <c r="D278" t="s">
        <v>18</v>
      </c>
      <c r="E278" t="s">
        <v>34</v>
      </c>
      <c r="F278">
        <v>1930587</v>
      </c>
      <c r="G278" t="s">
        <v>14</v>
      </c>
      <c r="H278" t="s">
        <v>21</v>
      </c>
      <c r="I278">
        <f t="shared" si="8"/>
        <v>20</v>
      </c>
      <c r="J278" s="1">
        <f t="shared" si="9"/>
        <v>30</v>
      </c>
    </row>
    <row r="279" spans="1:10">
      <c r="A279">
        <v>1278</v>
      </c>
      <c r="B279" t="s">
        <v>305</v>
      </c>
      <c r="C279" t="s">
        <v>23</v>
      </c>
      <c r="D279" t="s">
        <v>24</v>
      </c>
      <c r="E279" t="s">
        <v>25</v>
      </c>
      <c r="F279">
        <v>1562408</v>
      </c>
      <c r="G279" t="s">
        <v>20</v>
      </c>
      <c r="H279" t="s">
        <v>15</v>
      </c>
      <c r="I279">
        <f t="shared" si="8"/>
        <v>40</v>
      </c>
      <c r="J279" s="1">
        <f t="shared" si="9"/>
        <v>20</v>
      </c>
    </row>
    <row r="280" spans="1:10">
      <c r="A280">
        <v>1279</v>
      </c>
      <c r="B280" t="s">
        <v>306</v>
      </c>
      <c r="C280" t="s">
        <v>54</v>
      </c>
      <c r="D280" t="s">
        <v>18</v>
      </c>
      <c r="E280" t="s">
        <v>19</v>
      </c>
      <c r="F280">
        <v>702813</v>
      </c>
      <c r="G280" t="s">
        <v>14</v>
      </c>
      <c r="H280" t="s">
        <v>15</v>
      </c>
      <c r="I280">
        <f t="shared" si="8"/>
        <v>10</v>
      </c>
      <c r="J280" s="1">
        <f t="shared" si="9"/>
        <v>30</v>
      </c>
    </row>
    <row r="281" spans="1:10">
      <c r="A281">
        <v>1280</v>
      </c>
      <c r="B281" t="s">
        <v>307</v>
      </c>
      <c r="C281" t="s">
        <v>54</v>
      </c>
      <c r="D281" t="s">
        <v>18</v>
      </c>
      <c r="E281" t="s">
        <v>25</v>
      </c>
      <c r="F281">
        <v>571146</v>
      </c>
      <c r="G281" t="s">
        <v>14</v>
      </c>
      <c r="H281" t="s">
        <v>15</v>
      </c>
      <c r="I281">
        <f t="shared" si="8"/>
        <v>10</v>
      </c>
      <c r="J281" s="1">
        <f t="shared" si="9"/>
        <v>30</v>
      </c>
    </row>
    <row r="282" spans="1:10">
      <c r="A282">
        <v>1281</v>
      </c>
      <c r="B282" t="s">
        <v>308</v>
      </c>
      <c r="C282" t="s">
        <v>17</v>
      </c>
      <c r="D282" t="s">
        <v>18</v>
      </c>
      <c r="E282" t="s">
        <v>34</v>
      </c>
      <c r="F282">
        <v>702914</v>
      </c>
      <c r="G282" t="s">
        <v>14</v>
      </c>
      <c r="H282" t="s">
        <v>15</v>
      </c>
      <c r="I282">
        <f t="shared" si="8"/>
        <v>10</v>
      </c>
      <c r="J282" s="1">
        <f t="shared" si="9"/>
        <v>30</v>
      </c>
    </row>
    <row r="283" spans="1:10">
      <c r="A283">
        <v>1282</v>
      </c>
      <c r="B283" t="s">
        <v>309</v>
      </c>
      <c r="C283" t="s">
        <v>54</v>
      </c>
      <c r="D283" t="s">
        <v>18</v>
      </c>
      <c r="E283" t="s">
        <v>19</v>
      </c>
      <c r="F283">
        <v>1345325</v>
      </c>
      <c r="G283" t="s">
        <v>20</v>
      </c>
      <c r="H283" t="s">
        <v>15</v>
      </c>
      <c r="I283">
        <f t="shared" si="8"/>
        <v>40</v>
      </c>
      <c r="J283" s="1">
        <f t="shared" si="9"/>
        <v>30</v>
      </c>
    </row>
    <row r="284" spans="1:10">
      <c r="A284">
        <v>1283</v>
      </c>
      <c r="B284" t="s">
        <v>310</v>
      </c>
      <c r="C284" t="s">
        <v>27</v>
      </c>
      <c r="D284" t="s">
        <v>12</v>
      </c>
      <c r="E284" t="s">
        <v>25</v>
      </c>
      <c r="F284">
        <v>353758</v>
      </c>
      <c r="G284" t="s">
        <v>20</v>
      </c>
      <c r="H284" t="s">
        <v>15</v>
      </c>
      <c r="I284">
        <f t="shared" si="8"/>
        <v>40</v>
      </c>
      <c r="J284" s="1">
        <f t="shared" si="9"/>
        <v>10</v>
      </c>
    </row>
    <row r="285" spans="1:10">
      <c r="A285">
        <v>1284</v>
      </c>
      <c r="B285" t="s">
        <v>311</v>
      </c>
      <c r="C285" t="s">
        <v>11</v>
      </c>
      <c r="D285" t="s">
        <v>12</v>
      </c>
      <c r="E285" t="s">
        <v>19</v>
      </c>
      <c r="F285">
        <v>1418454</v>
      </c>
      <c r="G285" t="s">
        <v>14</v>
      </c>
      <c r="H285" t="s">
        <v>21</v>
      </c>
      <c r="I285">
        <f t="shared" si="8"/>
        <v>20</v>
      </c>
      <c r="J285" s="1">
        <f t="shared" si="9"/>
        <v>10</v>
      </c>
    </row>
    <row r="286" spans="1:10">
      <c r="A286">
        <v>1285</v>
      </c>
      <c r="B286" t="s">
        <v>312</v>
      </c>
      <c r="C286" t="s">
        <v>54</v>
      </c>
      <c r="D286" t="s">
        <v>18</v>
      </c>
      <c r="E286" t="s">
        <v>30</v>
      </c>
      <c r="F286">
        <v>1197030</v>
      </c>
      <c r="G286" t="s">
        <v>20</v>
      </c>
      <c r="H286" t="s">
        <v>15</v>
      </c>
      <c r="I286">
        <f t="shared" si="8"/>
        <v>40</v>
      </c>
      <c r="J286" s="1">
        <f t="shared" si="9"/>
        <v>30</v>
      </c>
    </row>
    <row r="287" spans="1:10">
      <c r="A287">
        <v>1286</v>
      </c>
      <c r="B287" t="s">
        <v>313</v>
      </c>
      <c r="C287" t="s">
        <v>11</v>
      </c>
      <c r="D287" t="s">
        <v>12</v>
      </c>
      <c r="E287" t="s">
        <v>13</v>
      </c>
      <c r="F287">
        <v>1556072</v>
      </c>
      <c r="G287" t="s">
        <v>20</v>
      </c>
      <c r="H287" t="s">
        <v>15</v>
      </c>
      <c r="I287">
        <f t="shared" si="8"/>
        <v>40</v>
      </c>
      <c r="J287" s="1">
        <f t="shared" si="9"/>
        <v>10</v>
      </c>
    </row>
    <row r="288" spans="1:10">
      <c r="A288">
        <v>1287</v>
      </c>
      <c r="B288" t="s">
        <v>314</v>
      </c>
      <c r="C288" t="s">
        <v>27</v>
      </c>
      <c r="D288" t="s">
        <v>12</v>
      </c>
      <c r="E288" t="s">
        <v>19</v>
      </c>
      <c r="F288">
        <v>324017</v>
      </c>
      <c r="G288" t="s">
        <v>20</v>
      </c>
      <c r="H288" t="s">
        <v>21</v>
      </c>
      <c r="I288">
        <f t="shared" si="8"/>
        <v>40</v>
      </c>
      <c r="J288" s="1">
        <f t="shared" si="9"/>
        <v>10</v>
      </c>
    </row>
    <row r="289" spans="1:10">
      <c r="A289">
        <v>1288</v>
      </c>
      <c r="B289" t="s">
        <v>315</v>
      </c>
      <c r="C289" t="s">
        <v>17</v>
      </c>
      <c r="D289" t="s">
        <v>18</v>
      </c>
      <c r="E289" t="s">
        <v>13</v>
      </c>
      <c r="F289">
        <v>1636337</v>
      </c>
      <c r="G289" t="s">
        <v>20</v>
      </c>
      <c r="H289" t="s">
        <v>21</v>
      </c>
      <c r="I289">
        <f t="shared" si="8"/>
        <v>40</v>
      </c>
      <c r="J289" s="1">
        <f t="shared" si="9"/>
        <v>30</v>
      </c>
    </row>
    <row r="290" spans="1:10">
      <c r="A290">
        <v>1289</v>
      </c>
      <c r="B290" t="s">
        <v>316</v>
      </c>
      <c r="C290" t="s">
        <v>23</v>
      </c>
      <c r="D290" t="s">
        <v>24</v>
      </c>
      <c r="E290" t="s">
        <v>34</v>
      </c>
      <c r="F290">
        <v>1681601</v>
      </c>
      <c r="G290" t="s">
        <v>14</v>
      </c>
      <c r="H290" t="s">
        <v>21</v>
      </c>
      <c r="I290">
        <f t="shared" si="8"/>
        <v>20</v>
      </c>
      <c r="J290" s="1">
        <f t="shared" si="9"/>
        <v>20</v>
      </c>
    </row>
    <row r="291" spans="1:10">
      <c r="A291">
        <v>1290</v>
      </c>
      <c r="B291" t="s">
        <v>317</v>
      </c>
      <c r="C291" t="s">
        <v>11</v>
      </c>
      <c r="D291" t="s">
        <v>12</v>
      </c>
      <c r="E291" t="s">
        <v>19</v>
      </c>
      <c r="F291">
        <v>1979636</v>
      </c>
      <c r="G291" t="s">
        <v>20</v>
      </c>
      <c r="H291" t="s">
        <v>15</v>
      </c>
      <c r="I291">
        <f t="shared" si="8"/>
        <v>40</v>
      </c>
      <c r="J291" s="1">
        <f t="shared" si="9"/>
        <v>10</v>
      </c>
    </row>
    <row r="292" spans="1:10">
      <c r="A292">
        <v>1291</v>
      </c>
      <c r="B292" t="s">
        <v>318</v>
      </c>
      <c r="C292" t="s">
        <v>54</v>
      </c>
      <c r="D292" t="s">
        <v>18</v>
      </c>
      <c r="E292" t="s">
        <v>34</v>
      </c>
      <c r="F292">
        <v>530498</v>
      </c>
      <c r="G292" t="s">
        <v>20</v>
      </c>
      <c r="H292" t="s">
        <v>21</v>
      </c>
      <c r="I292">
        <f t="shared" si="8"/>
        <v>40</v>
      </c>
      <c r="J292" s="1">
        <f t="shared" si="9"/>
        <v>30</v>
      </c>
    </row>
    <row r="293" spans="1:10">
      <c r="A293">
        <v>1292</v>
      </c>
      <c r="B293" t="s">
        <v>319</v>
      </c>
      <c r="C293" t="s">
        <v>27</v>
      </c>
      <c r="D293" t="s">
        <v>12</v>
      </c>
      <c r="E293" t="s">
        <v>25</v>
      </c>
      <c r="F293">
        <v>1431298</v>
      </c>
      <c r="G293" t="s">
        <v>20</v>
      </c>
      <c r="H293" t="s">
        <v>15</v>
      </c>
      <c r="I293">
        <f t="shared" si="8"/>
        <v>40</v>
      </c>
      <c r="J293" s="1">
        <f t="shared" si="9"/>
        <v>10</v>
      </c>
    </row>
    <row r="294" spans="1:10">
      <c r="A294">
        <v>1293</v>
      </c>
      <c r="B294" t="s">
        <v>320</v>
      </c>
      <c r="C294" t="s">
        <v>23</v>
      </c>
      <c r="D294" t="s">
        <v>24</v>
      </c>
      <c r="E294" t="s">
        <v>34</v>
      </c>
      <c r="F294">
        <v>587831</v>
      </c>
      <c r="G294" t="s">
        <v>14</v>
      </c>
      <c r="H294" t="s">
        <v>21</v>
      </c>
      <c r="I294">
        <f t="shared" si="8"/>
        <v>10</v>
      </c>
      <c r="J294" s="1">
        <f t="shared" si="9"/>
        <v>20</v>
      </c>
    </row>
    <row r="295" spans="1:10">
      <c r="A295">
        <v>1294</v>
      </c>
      <c r="B295" t="s">
        <v>321</v>
      </c>
      <c r="C295" t="s">
        <v>11</v>
      </c>
      <c r="D295" t="s">
        <v>12</v>
      </c>
      <c r="E295" t="s">
        <v>30</v>
      </c>
      <c r="F295">
        <v>933315</v>
      </c>
      <c r="G295" t="s">
        <v>20</v>
      </c>
      <c r="H295" t="s">
        <v>21</v>
      </c>
      <c r="I295">
        <f t="shared" si="8"/>
        <v>40</v>
      </c>
      <c r="J295" s="1">
        <f t="shared" si="9"/>
        <v>10</v>
      </c>
    </row>
    <row r="296" spans="1:10">
      <c r="A296">
        <v>1295</v>
      </c>
      <c r="B296" t="s">
        <v>322</v>
      </c>
      <c r="C296" t="s">
        <v>11</v>
      </c>
      <c r="D296" t="s">
        <v>12</v>
      </c>
      <c r="E296" t="s">
        <v>19</v>
      </c>
      <c r="F296">
        <v>1399911</v>
      </c>
      <c r="G296" t="s">
        <v>20</v>
      </c>
      <c r="H296" t="s">
        <v>15</v>
      </c>
      <c r="I296">
        <f t="shared" si="8"/>
        <v>40</v>
      </c>
      <c r="J296" s="1">
        <f t="shared" si="9"/>
        <v>10</v>
      </c>
    </row>
    <row r="297" spans="1:10">
      <c r="A297">
        <v>1296</v>
      </c>
      <c r="B297" t="s">
        <v>323</v>
      </c>
      <c r="C297" t="s">
        <v>27</v>
      </c>
      <c r="D297" t="s">
        <v>12</v>
      </c>
      <c r="E297" t="s">
        <v>25</v>
      </c>
      <c r="F297">
        <v>1682020</v>
      </c>
      <c r="G297" t="s">
        <v>14</v>
      </c>
      <c r="H297" t="s">
        <v>21</v>
      </c>
      <c r="I297">
        <f t="shared" si="8"/>
        <v>20</v>
      </c>
      <c r="J297" s="1">
        <f t="shared" si="9"/>
        <v>10</v>
      </c>
    </row>
    <row r="298" spans="1:10">
      <c r="A298">
        <v>1297</v>
      </c>
      <c r="B298" t="s">
        <v>324</v>
      </c>
      <c r="C298" t="s">
        <v>23</v>
      </c>
      <c r="D298" t="s">
        <v>24</v>
      </c>
      <c r="E298" t="s">
        <v>25</v>
      </c>
      <c r="F298">
        <v>1719746</v>
      </c>
      <c r="G298" t="s">
        <v>20</v>
      </c>
      <c r="H298" t="s">
        <v>21</v>
      </c>
      <c r="I298">
        <f t="shared" si="8"/>
        <v>40</v>
      </c>
      <c r="J298" s="1">
        <f t="shared" si="9"/>
        <v>20</v>
      </c>
    </row>
    <row r="299" spans="1:10">
      <c r="A299">
        <v>1298</v>
      </c>
      <c r="B299" t="s">
        <v>325</v>
      </c>
      <c r="C299" t="s">
        <v>11</v>
      </c>
      <c r="D299" t="s">
        <v>12</v>
      </c>
      <c r="E299" t="s">
        <v>25</v>
      </c>
      <c r="F299">
        <v>1705491</v>
      </c>
      <c r="G299" t="s">
        <v>20</v>
      </c>
      <c r="H299" t="s">
        <v>21</v>
      </c>
      <c r="I299">
        <f t="shared" si="8"/>
        <v>40</v>
      </c>
      <c r="J299" s="1">
        <f t="shared" si="9"/>
        <v>10</v>
      </c>
    </row>
    <row r="300" spans="1:10">
      <c r="A300">
        <v>1299</v>
      </c>
      <c r="B300" t="s">
        <v>326</v>
      </c>
      <c r="C300" t="s">
        <v>17</v>
      </c>
      <c r="D300" t="s">
        <v>18</v>
      </c>
      <c r="E300" t="s">
        <v>34</v>
      </c>
      <c r="F300">
        <v>642717</v>
      </c>
      <c r="G300" t="s">
        <v>20</v>
      </c>
      <c r="H300" t="s">
        <v>21</v>
      </c>
      <c r="I300">
        <f t="shared" si="8"/>
        <v>40</v>
      </c>
      <c r="J300" s="1">
        <f t="shared" si="9"/>
        <v>30</v>
      </c>
    </row>
    <row r="301" spans="1:10">
      <c r="A301">
        <v>1300</v>
      </c>
      <c r="B301" t="s">
        <v>327</v>
      </c>
      <c r="C301" t="s">
        <v>54</v>
      </c>
      <c r="D301" t="s">
        <v>18</v>
      </c>
      <c r="E301" t="s">
        <v>30</v>
      </c>
      <c r="F301">
        <v>385115</v>
      </c>
      <c r="G301" t="s">
        <v>20</v>
      </c>
      <c r="H301" t="s">
        <v>21</v>
      </c>
      <c r="I301">
        <f t="shared" si="8"/>
        <v>40</v>
      </c>
      <c r="J301" s="1">
        <f t="shared" si="9"/>
        <v>30</v>
      </c>
    </row>
    <row r="302" spans="1:10">
      <c r="A302">
        <v>1301</v>
      </c>
      <c r="B302" t="s">
        <v>328</v>
      </c>
      <c r="C302" t="s">
        <v>11</v>
      </c>
      <c r="D302" t="s">
        <v>12</v>
      </c>
      <c r="E302" t="s">
        <v>13</v>
      </c>
      <c r="F302">
        <v>1547089</v>
      </c>
      <c r="G302" t="s">
        <v>20</v>
      </c>
      <c r="H302" t="s">
        <v>21</v>
      </c>
      <c r="I302">
        <f t="shared" si="8"/>
        <v>40</v>
      </c>
      <c r="J302" s="1">
        <f t="shared" si="9"/>
        <v>10</v>
      </c>
    </row>
    <row r="303" spans="1:10">
      <c r="A303">
        <v>1302</v>
      </c>
      <c r="B303" t="s">
        <v>329</v>
      </c>
      <c r="C303" t="s">
        <v>39</v>
      </c>
      <c r="D303" t="s">
        <v>12</v>
      </c>
      <c r="E303" t="s">
        <v>13</v>
      </c>
      <c r="F303">
        <v>1058239</v>
      </c>
      <c r="G303" t="s">
        <v>20</v>
      </c>
      <c r="H303" t="s">
        <v>21</v>
      </c>
      <c r="I303">
        <f t="shared" si="8"/>
        <v>40</v>
      </c>
      <c r="J303" s="1">
        <f t="shared" si="9"/>
        <v>10</v>
      </c>
    </row>
    <row r="304" spans="1:10">
      <c r="A304">
        <v>1303</v>
      </c>
      <c r="B304" t="s">
        <v>330</v>
      </c>
      <c r="C304" t="s">
        <v>17</v>
      </c>
      <c r="D304" t="s">
        <v>18</v>
      </c>
      <c r="E304" t="s">
        <v>25</v>
      </c>
      <c r="F304">
        <v>1758149</v>
      </c>
      <c r="G304" t="s">
        <v>14</v>
      </c>
      <c r="H304" t="s">
        <v>15</v>
      </c>
      <c r="I304">
        <f t="shared" si="8"/>
        <v>20</v>
      </c>
      <c r="J304" s="1">
        <f t="shared" si="9"/>
        <v>30</v>
      </c>
    </row>
    <row r="305" spans="1:10">
      <c r="A305">
        <v>1304</v>
      </c>
      <c r="B305" t="s">
        <v>331</v>
      </c>
      <c r="C305" t="s">
        <v>54</v>
      </c>
      <c r="D305" t="s">
        <v>18</v>
      </c>
      <c r="E305" t="s">
        <v>25</v>
      </c>
      <c r="F305">
        <v>882130</v>
      </c>
      <c r="G305" t="s">
        <v>20</v>
      </c>
      <c r="H305" t="s">
        <v>21</v>
      </c>
      <c r="I305">
        <f t="shared" si="8"/>
        <v>40</v>
      </c>
      <c r="J305" s="1">
        <f t="shared" si="9"/>
        <v>30</v>
      </c>
    </row>
    <row r="306" spans="1:10">
      <c r="A306">
        <v>1305</v>
      </c>
      <c r="B306" t="s">
        <v>332</v>
      </c>
      <c r="C306" t="s">
        <v>27</v>
      </c>
      <c r="D306" t="s">
        <v>12</v>
      </c>
      <c r="E306" t="s">
        <v>13</v>
      </c>
      <c r="F306">
        <v>855488</v>
      </c>
      <c r="G306" t="s">
        <v>14</v>
      </c>
      <c r="H306" t="s">
        <v>21</v>
      </c>
      <c r="I306">
        <f t="shared" si="8"/>
        <v>10</v>
      </c>
      <c r="J306" s="1">
        <f t="shared" si="9"/>
        <v>10</v>
      </c>
    </row>
    <row r="307" spans="1:10">
      <c r="A307">
        <v>1306</v>
      </c>
      <c r="B307" t="s">
        <v>333</v>
      </c>
      <c r="C307" t="s">
        <v>11</v>
      </c>
      <c r="D307" t="s">
        <v>12</v>
      </c>
      <c r="E307" t="s">
        <v>30</v>
      </c>
      <c r="F307">
        <v>891705</v>
      </c>
      <c r="G307" t="s">
        <v>14</v>
      </c>
      <c r="H307" t="s">
        <v>15</v>
      </c>
      <c r="I307">
        <f t="shared" si="8"/>
        <v>10</v>
      </c>
      <c r="J307" s="1">
        <f t="shared" si="9"/>
        <v>10</v>
      </c>
    </row>
    <row r="308" spans="1:10">
      <c r="A308">
        <v>1307</v>
      </c>
      <c r="B308" t="s">
        <v>334</v>
      </c>
      <c r="C308" t="s">
        <v>23</v>
      </c>
      <c r="D308" t="s">
        <v>24</v>
      </c>
      <c r="E308" t="s">
        <v>25</v>
      </c>
      <c r="F308">
        <v>938722</v>
      </c>
      <c r="G308" t="s">
        <v>20</v>
      </c>
      <c r="H308" t="s">
        <v>21</v>
      </c>
      <c r="I308">
        <f t="shared" si="8"/>
        <v>40</v>
      </c>
      <c r="J308" s="1">
        <f t="shared" si="9"/>
        <v>20</v>
      </c>
    </row>
    <row r="309" spans="1:10">
      <c r="A309">
        <v>1308</v>
      </c>
      <c r="B309" t="s">
        <v>335</v>
      </c>
      <c r="C309" t="s">
        <v>11</v>
      </c>
      <c r="D309" t="s">
        <v>12</v>
      </c>
      <c r="E309" t="s">
        <v>34</v>
      </c>
      <c r="F309">
        <v>1406885</v>
      </c>
      <c r="G309" t="s">
        <v>14</v>
      </c>
      <c r="H309" t="s">
        <v>15</v>
      </c>
      <c r="I309">
        <f t="shared" si="8"/>
        <v>20</v>
      </c>
      <c r="J309" s="1">
        <f t="shared" si="9"/>
        <v>10</v>
      </c>
    </row>
    <row r="310" spans="1:10">
      <c r="A310">
        <v>1309</v>
      </c>
      <c r="B310" t="s">
        <v>336</v>
      </c>
      <c r="C310" t="s">
        <v>17</v>
      </c>
      <c r="D310" t="s">
        <v>18</v>
      </c>
      <c r="E310" t="s">
        <v>25</v>
      </c>
      <c r="F310">
        <v>1713913</v>
      </c>
      <c r="G310" t="s">
        <v>14</v>
      </c>
      <c r="H310" t="s">
        <v>21</v>
      </c>
      <c r="I310">
        <f t="shared" si="8"/>
        <v>20</v>
      </c>
      <c r="J310" s="1">
        <f t="shared" si="9"/>
        <v>30</v>
      </c>
    </row>
    <row r="311" spans="1:10">
      <c r="A311">
        <v>1310</v>
      </c>
      <c r="B311" t="s">
        <v>337</v>
      </c>
      <c r="C311" t="s">
        <v>27</v>
      </c>
      <c r="D311" t="s">
        <v>12</v>
      </c>
      <c r="E311" t="s">
        <v>25</v>
      </c>
      <c r="F311">
        <v>1594624</v>
      </c>
      <c r="G311" t="s">
        <v>14</v>
      </c>
      <c r="H311" t="s">
        <v>15</v>
      </c>
      <c r="I311">
        <f t="shared" si="8"/>
        <v>20</v>
      </c>
      <c r="J311" s="1">
        <f t="shared" si="9"/>
        <v>10</v>
      </c>
    </row>
    <row r="312" spans="1:10">
      <c r="A312">
        <v>1311</v>
      </c>
      <c r="B312" t="s">
        <v>338</v>
      </c>
      <c r="C312" t="s">
        <v>27</v>
      </c>
      <c r="D312" t="s">
        <v>12</v>
      </c>
      <c r="E312" t="s">
        <v>30</v>
      </c>
      <c r="F312">
        <v>1028709</v>
      </c>
      <c r="G312" t="s">
        <v>14</v>
      </c>
      <c r="H312" t="s">
        <v>21</v>
      </c>
      <c r="I312">
        <f t="shared" si="8"/>
        <v>20</v>
      </c>
      <c r="J312" s="1">
        <f t="shared" si="9"/>
        <v>10</v>
      </c>
    </row>
    <row r="313" spans="1:10">
      <c r="A313">
        <v>1312</v>
      </c>
      <c r="B313" t="s">
        <v>339</v>
      </c>
      <c r="C313" t="s">
        <v>39</v>
      </c>
      <c r="D313" t="s">
        <v>12</v>
      </c>
      <c r="E313" t="s">
        <v>13</v>
      </c>
      <c r="F313">
        <v>1754496</v>
      </c>
      <c r="G313" t="s">
        <v>20</v>
      </c>
      <c r="H313" t="s">
        <v>21</v>
      </c>
      <c r="I313">
        <f t="shared" si="8"/>
        <v>40</v>
      </c>
      <c r="J313" s="1">
        <f t="shared" si="9"/>
        <v>10</v>
      </c>
    </row>
    <row r="314" spans="1:10">
      <c r="A314">
        <v>1313</v>
      </c>
      <c r="B314" t="s">
        <v>340</v>
      </c>
      <c r="C314" t="s">
        <v>17</v>
      </c>
      <c r="D314" t="s">
        <v>18</v>
      </c>
      <c r="E314" t="s">
        <v>34</v>
      </c>
      <c r="F314">
        <v>952085</v>
      </c>
      <c r="G314" t="s">
        <v>14</v>
      </c>
      <c r="H314" t="s">
        <v>15</v>
      </c>
      <c r="I314">
        <f t="shared" si="8"/>
        <v>10</v>
      </c>
      <c r="J314" s="1">
        <f t="shared" si="9"/>
        <v>30</v>
      </c>
    </row>
    <row r="315" spans="1:10">
      <c r="A315">
        <v>1314</v>
      </c>
      <c r="B315" t="s">
        <v>341</v>
      </c>
      <c r="C315" t="s">
        <v>27</v>
      </c>
      <c r="D315" t="s">
        <v>12</v>
      </c>
      <c r="E315" t="s">
        <v>13</v>
      </c>
      <c r="F315">
        <v>1339605</v>
      </c>
      <c r="G315" t="s">
        <v>20</v>
      </c>
      <c r="H315" t="s">
        <v>21</v>
      </c>
      <c r="I315">
        <f t="shared" si="8"/>
        <v>40</v>
      </c>
      <c r="J315" s="1">
        <f t="shared" si="9"/>
        <v>10</v>
      </c>
    </row>
    <row r="316" spans="1:10">
      <c r="A316">
        <v>1315</v>
      </c>
      <c r="B316" t="s">
        <v>342</v>
      </c>
      <c r="C316" t="s">
        <v>11</v>
      </c>
      <c r="D316" t="s">
        <v>12</v>
      </c>
      <c r="E316" t="s">
        <v>13</v>
      </c>
      <c r="F316">
        <v>1134530</v>
      </c>
      <c r="G316" t="s">
        <v>20</v>
      </c>
      <c r="H316" t="s">
        <v>15</v>
      </c>
      <c r="I316">
        <f t="shared" si="8"/>
        <v>40</v>
      </c>
      <c r="J316" s="1">
        <f t="shared" si="9"/>
        <v>10</v>
      </c>
    </row>
    <row r="317" spans="1:10">
      <c r="A317">
        <v>1316</v>
      </c>
      <c r="B317" t="s">
        <v>343</v>
      </c>
      <c r="C317" t="s">
        <v>11</v>
      </c>
      <c r="D317" t="s">
        <v>12</v>
      </c>
      <c r="E317" t="s">
        <v>34</v>
      </c>
      <c r="F317">
        <v>530682</v>
      </c>
      <c r="G317" t="s">
        <v>20</v>
      </c>
      <c r="H317" t="s">
        <v>15</v>
      </c>
      <c r="I317">
        <f t="shared" si="8"/>
        <v>40</v>
      </c>
      <c r="J317" s="1">
        <f t="shared" si="9"/>
        <v>10</v>
      </c>
    </row>
    <row r="318" spans="1:10">
      <c r="A318">
        <v>1317</v>
      </c>
      <c r="B318" t="s">
        <v>344</v>
      </c>
      <c r="C318" t="s">
        <v>39</v>
      </c>
      <c r="D318" t="s">
        <v>12</v>
      </c>
      <c r="E318" t="s">
        <v>34</v>
      </c>
      <c r="F318">
        <v>1510952</v>
      </c>
      <c r="G318" t="s">
        <v>14</v>
      </c>
      <c r="H318" t="s">
        <v>21</v>
      </c>
      <c r="I318">
        <f t="shared" si="8"/>
        <v>20</v>
      </c>
      <c r="J318" s="1">
        <f t="shared" si="9"/>
        <v>10</v>
      </c>
    </row>
    <row r="319" spans="1:10">
      <c r="A319">
        <v>1318</v>
      </c>
      <c r="B319" t="s">
        <v>345</v>
      </c>
      <c r="C319" t="s">
        <v>54</v>
      </c>
      <c r="D319" t="s">
        <v>18</v>
      </c>
      <c r="E319" t="s">
        <v>19</v>
      </c>
      <c r="F319">
        <v>431137</v>
      </c>
      <c r="G319" t="s">
        <v>20</v>
      </c>
      <c r="H319" t="s">
        <v>15</v>
      </c>
      <c r="I319">
        <f t="shared" si="8"/>
        <v>40</v>
      </c>
      <c r="J319" s="1">
        <f t="shared" si="9"/>
        <v>30</v>
      </c>
    </row>
    <row r="320" spans="1:10">
      <c r="A320">
        <v>1319</v>
      </c>
      <c r="B320" t="s">
        <v>346</v>
      </c>
      <c r="C320" t="s">
        <v>23</v>
      </c>
      <c r="D320" t="s">
        <v>24</v>
      </c>
      <c r="E320" t="s">
        <v>19</v>
      </c>
      <c r="F320">
        <v>654947</v>
      </c>
      <c r="G320" t="s">
        <v>20</v>
      </c>
      <c r="H320" t="s">
        <v>15</v>
      </c>
      <c r="I320">
        <f t="shared" si="8"/>
        <v>40</v>
      </c>
      <c r="J320" s="1">
        <f t="shared" si="9"/>
        <v>20</v>
      </c>
    </row>
    <row r="321" spans="1:10">
      <c r="A321">
        <v>1320</v>
      </c>
      <c r="B321" t="s">
        <v>347</v>
      </c>
      <c r="C321" t="s">
        <v>54</v>
      </c>
      <c r="D321" t="s">
        <v>18</v>
      </c>
      <c r="E321" t="s">
        <v>19</v>
      </c>
      <c r="F321">
        <v>937175</v>
      </c>
      <c r="G321" t="s">
        <v>20</v>
      </c>
      <c r="H321" t="s">
        <v>15</v>
      </c>
      <c r="I321">
        <f t="shared" si="8"/>
        <v>40</v>
      </c>
      <c r="J321" s="1">
        <f t="shared" si="9"/>
        <v>30</v>
      </c>
    </row>
    <row r="322" spans="1:10">
      <c r="A322">
        <v>1321</v>
      </c>
      <c r="B322" t="s">
        <v>348</v>
      </c>
      <c r="C322" t="s">
        <v>23</v>
      </c>
      <c r="D322" t="s">
        <v>24</v>
      </c>
      <c r="E322" t="s">
        <v>19</v>
      </c>
      <c r="F322">
        <v>1770517</v>
      </c>
      <c r="G322" t="s">
        <v>20</v>
      </c>
      <c r="H322" t="s">
        <v>21</v>
      </c>
      <c r="I322">
        <f t="shared" si="8"/>
        <v>40</v>
      </c>
      <c r="J322" s="1">
        <f t="shared" si="9"/>
        <v>20</v>
      </c>
    </row>
    <row r="323" spans="1:10">
      <c r="A323">
        <v>1322</v>
      </c>
      <c r="B323" t="s">
        <v>349</v>
      </c>
      <c r="C323" t="s">
        <v>17</v>
      </c>
      <c r="D323" t="s">
        <v>18</v>
      </c>
      <c r="E323" t="s">
        <v>19</v>
      </c>
      <c r="F323">
        <v>510904</v>
      </c>
      <c r="G323" t="s">
        <v>14</v>
      </c>
      <c r="H323" t="s">
        <v>15</v>
      </c>
      <c r="I323">
        <f t="shared" ref="I323:I386" si="10">IF(TRIM(LOWER(G323))="yes",40,IF(VALUE(F323)&gt;1000000,20,10))</f>
        <v>10</v>
      </c>
      <c r="J323" s="1">
        <f t="shared" ref="J323:J386" si="11">IF(OR(C323="UAE",C323="Nigeria"),30,IF(C323="USA",20,10))</f>
        <v>30</v>
      </c>
    </row>
    <row r="324" spans="1:10">
      <c r="A324">
        <v>1323</v>
      </c>
      <c r="B324" t="s">
        <v>350</v>
      </c>
      <c r="C324" t="s">
        <v>27</v>
      </c>
      <c r="D324" t="s">
        <v>12</v>
      </c>
      <c r="E324" t="s">
        <v>19</v>
      </c>
      <c r="F324">
        <v>1646866</v>
      </c>
      <c r="G324" t="s">
        <v>20</v>
      </c>
      <c r="H324" t="s">
        <v>21</v>
      </c>
      <c r="I324">
        <f t="shared" si="10"/>
        <v>40</v>
      </c>
      <c r="J324" s="1">
        <f t="shared" si="11"/>
        <v>10</v>
      </c>
    </row>
    <row r="325" spans="1:10">
      <c r="A325">
        <v>1324</v>
      </c>
      <c r="B325" t="s">
        <v>351</v>
      </c>
      <c r="C325" t="s">
        <v>23</v>
      </c>
      <c r="D325" t="s">
        <v>24</v>
      </c>
      <c r="E325" t="s">
        <v>19</v>
      </c>
      <c r="F325">
        <v>958828</v>
      </c>
      <c r="G325" t="s">
        <v>20</v>
      </c>
      <c r="H325" t="s">
        <v>21</v>
      </c>
      <c r="I325">
        <f t="shared" si="10"/>
        <v>40</v>
      </c>
      <c r="J325" s="1">
        <f t="shared" si="11"/>
        <v>20</v>
      </c>
    </row>
    <row r="326" spans="1:10">
      <c r="A326">
        <v>1325</v>
      </c>
      <c r="B326" t="s">
        <v>352</v>
      </c>
      <c r="C326" t="s">
        <v>54</v>
      </c>
      <c r="D326" t="s">
        <v>18</v>
      </c>
      <c r="E326" t="s">
        <v>13</v>
      </c>
      <c r="F326">
        <v>1296535</v>
      </c>
      <c r="G326" t="s">
        <v>20</v>
      </c>
      <c r="H326" t="s">
        <v>21</v>
      </c>
      <c r="I326">
        <f t="shared" si="10"/>
        <v>40</v>
      </c>
      <c r="J326" s="1">
        <f t="shared" si="11"/>
        <v>30</v>
      </c>
    </row>
    <row r="327" spans="1:10">
      <c r="A327">
        <v>1326</v>
      </c>
      <c r="B327" t="s">
        <v>353</v>
      </c>
      <c r="C327" t="s">
        <v>17</v>
      </c>
      <c r="D327" t="s">
        <v>18</v>
      </c>
      <c r="E327" t="s">
        <v>34</v>
      </c>
      <c r="F327">
        <v>1065617</v>
      </c>
      <c r="G327" t="s">
        <v>20</v>
      </c>
      <c r="H327" t="s">
        <v>21</v>
      </c>
      <c r="I327">
        <f t="shared" si="10"/>
        <v>40</v>
      </c>
      <c r="J327" s="1">
        <f t="shared" si="11"/>
        <v>30</v>
      </c>
    </row>
    <row r="328" spans="1:10">
      <c r="A328">
        <v>1327</v>
      </c>
      <c r="B328" t="s">
        <v>354</v>
      </c>
      <c r="C328" t="s">
        <v>54</v>
      </c>
      <c r="D328" t="s">
        <v>18</v>
      </c>
      <c r="E328" t="s">
        <v>25</v>
      </c>
      <c r="F328">
        <v>1505565</v>
      </c>
      <c r="G328" t="s">
        <v>14</v>
      </c>
      <c r="H328" t="s">
        <v>15</v>
      </c>
      <c r="I328">
        <f t="shared" si="10"/>
        <v>20</v>
      </c>
      <c r="J328" s="1">
        <f t="shared" si="11"/>
        <v>30</v>
      </c>
    </row>
    <row r="329" spans="1:10">
      <c r="A329">
        <v>1328</v>
      </c>
      <c r="B329" t="s">
        <v>355</v>
      </c>
      <c r="C329" t="s">
        <v>17</v>
      </c>
      <c r="D329" t="s">
        <v>18</v>
      </c>
      <c r="E329" t="s">
        <v>13</v>
      </c>
      <c r="F329">
        <v>746411</v>
      </c>
      <c r="G329" t="s">
        <v>14</v>
      </c>
      <c r="H329" t="s">
        <v>21</v>
      </c>
      <c r="I329">
        <f t="shared" si="10"/>
        <v>10</v>
      </c>
      <c r="J329" s="1">
        <f t="shared" si="11"/>
        <v>30</v>
      </c>
    </row>
    <row r="330" spans="1:10">
      <c r="A330">
        <v>1329</v>
      </c>
      <c r="B330" t="s">
        <v>356</v>
      </c>
      <c r="C330" t="s">
        <v>11</v>
      </c>
      <c r="D330" t="s">
        <v>12</v>
      </c>
      <c r="E330" t="s">
        <v>13</v>
      </c>
      <c r="F330">
        <v>1919704</v>
      </c>
      <c r="G330" t="s">
        <v>14</v>
      </c>
      <c r="H330" t="s">
        <v>15</v>
      </c>
      <c r="I330">
        <f t="shared" si="10"/>
        <v>20</v>
      </c>
      <c r="J330" s="1">
        <f t="shared" si="11"/>
        <v>10</v>
      </c>
    </row>
    <row r="331" spans="1:10">
      <c r="A331">
        <v>1330</v>
      </c>
      <c r="B331" t="s">
        <v>357</v>
      </c>
      <c r="C331" t="s">
        <v>17</v>
      </c>
      <c r="D331" t="s">
        <v>18</v>
      </c>
      <c r="E331" t="s">
        <v>34</v>
      </c>
      <c r="F331">
        <v>1651227</v>
      </c>
      <c r="G331" t="s">
        <v>14</v>
      </c>
      <c r="H331" t="s">
        <v>15</v>
      </c>
      <c r="I331">
        <f t="shared" si="10"/>
        <v>20</v>
      </c>
      <c r="J331" s="1">
        <f t="shared" si="11"/>
        <v>30</v>
      </c>
    </row>
    <row r="332" spans="1:10">
      <c r="A332">
        <v>1331</v>
      </c>
      <c r="B332" t="s">
        <v>358</v>
      </c>
      <c r="C332" t="s">
        <v>23</v>
      </c>
      <c r="D332" t="s">
        <v>24</v>
      </c>
      <c r="E332" t="s">
        <v>25</v>
      </c>
      <c r="F332">
        <v>605066</v>
      </c>
      <c r="G332" t="s">
        <v>14</v>
      </c>
      <c r="H332" t="s">
        <v>21</v>
      </c>
      <c r="I332">
        <f t="shared" si="10"/>
        <v>10</v>
      </c>
      <c r="J332" s="1">
        <f t="shared" si="11"/>
        <v>20</v>
      </c>
    </row>
    <row r="333" spans="1:10">
      <c r="A333">
        <v>1332</v>
      </c>
      <c r="B333" t="s">
        <v>359</v>
      </c>
      <c r="C333" t="s">
        <v>27</v>
      </c>
      <c r="D333" t="s">
        <v>12</v>
      </c>
      <c r="E333" t="s">
        <v>19</v>
      </c>
      <c r="F333">
        <v>794138</v>
      </c>
      <c r="G333" t="s">
        <v>20</v>
      </c>
      <c r="H333" t="s">
        <v>21</v>
      </c>
      <c r="I333">
        <f t="shared" si="10"/>
        <v>40</v>
      </c>
      <c r="J333" s="1">
        <f t="shared" si="11"/>
        <v>10</v>
      </c>
    </row>
    <row r="334" spans="1:10">
      <c r="A334">
        <v>1333</v>
      </c>
      <c r="B334" t="s">
        <v>360</v>
      </c>
      <c r="C334" t="s">
        <v>11</v>
      </c>
      <c r="D334" t="s">
        <v>12</v>
      </c>
      <c r="E334" t="s">
        <v>30</v>
      </c>
      <c r="F334">
        <v>1498774</v>
      </c>
      <c r="G334" t="s">
        <v>14</v>
      </c>
      <c r="H334" t="s">
        <v>15</v>
      </c>
      <c r="I334">
        <f t="shared" si="10"/>
        <v>20</v>
      </c>
      <c r="J334" s="1">
        <f t="shared" si="11"/>
        <v>10</v>
      </c>
    </row>
    <row r="335" spans="1:10">
      <c r="A335">
        <v>1334</v>
      </c>
      <c r="B335" t="s">
        <v>361</v>
      </c>
      <c r="C335" t="s">
        <v>23</v>
      </c>
      <c r="D335" t="s">
        <v>24</v>
      </c>
      <c r="E335" t="s">
        <v>30</v>
      </c>
      <c r="F335">
        <v>468171</v>
      </c>
      <c r="G335" t="s">
        <v>20</v>
      </c>
      <c r="H335" t="s">
        <v>15</v>
      </c>
      <c r="I335">
        <f t="shared" si="10"/>
        <v>40</v>
      </c>
      <c r="J335" s="1">
        <f t="shared" si="11"/>
        <v>20</v>
      </c>
    </row>
    <row r="336" spans="1:10">
      <c r="A336">
        <v>1335</v>
      </c>
      <c r="B336" t="s">
        <v>362</v>
      </c>
      <c r="C336" t="s">
        <v>39</v>
      </c>
      <c r="D336" t="s">
        <v>12</v>
      </c>
      <c r="E336" t="s">
        <v>30</v>
      </c>
      <c r="F336">
        <v>781164</v>
      </c>
      <c r="G336" t="s">
        <v>14</v>
      </c>
      <c r="H336" t="s">
        <v>21</v>
      </c>
      <c r="I336">
        <f t="shared" si="10"/>
        <v>10</v>
      </c>
      <c r="J336" s="1">
        <f t="shared" si="11"/>
        <v>10</v>
      </c>
    </row>
    <row r="337" spans="1:10">
      <c r="A337">
        <v>1336</v>
      </c>
      <c r="B337" t="s">
        <v>363</v>
      </c>
      <c r="C337" t="s">
        <v>11</v>
      </c>
      <c r="D337" t="s">
        <v>12</v>
      </c>
      <c r="E337" t="s">
        <v>13</v>
      </c>
      <c r="F337">
        <v>1821197</v>
      </c>
      <c r="G337" t="s">
        <v>20</v>
      </c>
      <c r="H337" t="s">
        <v>15</v>
      </c>
      <c r="I337">
        <f t="shared" si="10"/>
        <v>40</v>
      </c>
      <c r="J337" s="1">
        <f t="shared" si="11"/>
        <v>10</v>
      </c>
    </row>
    <row r="338" spans="1:10">
      <c r="A338">
        <v>1337</v>
      </c>
      <c r="B338" t="s">
        <v>364</v>
      </c>
      <c r="C338" t="s">
        <v>39</v>
      </c>
      <c r="D338" t="s">
        <v>12</v>
      </c>
      <c r="E338" t="s">
        <v>13</v>
      </c>
      <c r="F338">
        <v>1153280</v>
      </c>
      <c r="G338" t="s">
        <v>20</v>
      </c>
      <c r="H338" t="s">
        <v>15</v>
      </c>
      <c r="I338">
        <f t="shared" si="10"/>
        <v>40</v>
      </c>
      <c r="J338" s="1">
        <f t="shared" si="11"/>
        <v>10</v>
      </c>
    </row>
    <row r="339" spans="1:10">
      <c r="A339">
        <v>1338</v>
      </c>
      <c r="B339" t="s">
        <v>365</v>
      </c>
      <c r="C339" t="s">
        <v>17</v>
      </c>
      <c r="D339" t="s">
        <v>18</v>
      </c>
      <c r="E339" t="s">
        <v>34</v>
      </c>
      <c r="F339">
        <v>628909</v>
      </c>
      <c r="G339" t="s">
        <v>14</v>
      </c>
      <c r="H339" t="s">
        <v>15</v>
      </c>
      <c r="I339">
        <f t="shared" si="10"/>
        <v>10</v>
      </c>
      <c r="J339" s="1">
        <f t="shared" si="11"/>
        <v>30</v>
      </c>
    </row>
    <row r="340" spans="1:10">
      <c r="A340">
        <v>1339</v>
      </c>
      <c r="B340" t="s">
        <v>366</v>
      </c>
      <c r="C340" t="s">
        <v>23</v>
      </c>
      <c r="D340" t="s">
        <v>24</v>
      </c>
      <c r="E340" t="s">
        <v>13</v>
      </c>
      <c r="F340">
        <v>1411848</v>
      </c>
      <c r="G340" t="s">
        <v>14</v>
      </c>
      <c r="H340" t="s">
        <v>15</v>
      </c>
      <c r="I340">
        <f t="shared" si="10"/>
        <v>20</v>
      </c>
      <c r="J340" s="1">
        <f t="shared" si="11"/>
        <v>20</v>
      </c>
    </row>
    <row r="341" spans="1:10">
      <c r="A341">
        <v>1340</v>
      </c>
      <c r="B341" t="s">
        <v>367</v>
      </c>
      <c r="C341" t="s">
        <v>27</v>
      </c>
      <c r="D341" t="s">
        <v>12</v>
      </c>
      <c r="E341" t="s">
        <v>34</v>
      </c>
      <c r="F341">
        <v>484031</v>
      </c>
      <c r="G341" t="s">
        <v>14</v>
      </c>
      <c r="H341" t="s">
        <v>21</v>
      </c>
      <c r="I341">
        <f t="shared" si="10"/>
        <v>10</v>
      </c>
      <c r="J341" s="1">
        <f t="shared" si="11"/>
        <v>10</v>
      </c>
    </row>
    <row r="342" spans="1:10">
      <c r="A342">
        <v>1341</v>
      </c>
      <c r="B342" t="s">
        <v>368</v>
      </c>
      <c r="C342" t="s">
        <v>39</v>
      </c>
      <c r="D342" t="s">
        <v>12</v>
      </c>
      <c r="E342" t="s">
        <v>19</v>
      </c>
      <c r="F342">
        <v>1682916</v>
      </c>
      <c r="G342" t="s">
        <v>20</v>
      </c>
      <c r="H342" t="s">
        <v>21</v>
      </c>
      <c r="I342">
        <f t="shared" si="10"/>
        <v>40</v>
      </c>
      <c r="J342" s="1">
        <f t="shared" si="11"/>
        <v>10</v>
      </c>
    </row>
    <row r="343" spans="1:10">
      <c r="A343">
        <v>1342</v>
      </c>
      <c r="B343" t="s">
        <v>369</v>
      </c>
      <c r="C343" t="s">
        <v>11</v>
      </c>
      <c r="D343" t="s">
        <v>12</v>
      </c>
      <c r="E343" t="s">
        <v>30</v>
      </c>
      <c r="F343">
        <v>773726</v>
      </c>
      <c r="G343" t="s">
        <v>14</v>
      </c>
      <c r="H343" t="s">
        <v>15</v>
      </c>
      <c r="I343">
        <f t="shared" si="10"/>
        <v>10</v>
      </c>
      <c r="J343" s="1">
        <f t="shared" si="11"/>
        <v>10</v>
      </c>
    </row>
    <row r="344" spans="1:10">
      <c r="A344">
        <v>1343</v>
      </c>
      <c r="B344" t="s">
        <v>370</v>
      </c>
      <c r="C344" t="s">
        <v>27</v>
      </c>
      <c r="D344" t="s">
        <v>12</v>
      </c>
      <c r="E344" t="s">
        <v>30</v>
      </c>
      <c r="F344">
        <v>576124</v>
      </c>
      <c r="G344" t="s">
        <v>20</v>
      </c>
      <c r="H344" t="s">
        <v>21</v>
      </c>
      <c r="I344">
        <f t="shared" si="10"/>
        <v>40</v>
      </c>
      <c r="J344" s="1">
        <f t="shared" si="11"/>
        <v>10</v>
      </c>
    </row>
    <row r="345" spans="1:10">
      <c r="A345">
        <v>1344</v>
      </c>
      <c r="B345" t="s">
        <v>371</v>
      </c>
      <c r="C345" t="s">
        <v>17</v>
      </c>
      <c r="D345" t="s">
        <v>18</v>
      </c>
      <c r="E345" t="s">
        <v>30</v>
      </c>
      <c r="F345">
        <v>1600876</v>
      </c>
      <c r="G345" t="s">
        <v>20</v>
      </c>
      <c r="H345" t="s">
        <v>15</v>
      </c>
      <c r="I345">
        <f t="shared" si="10"/>
        <v>40</v>
      </c>
      <c r="J345" s="1">
        <f t="shared" si="11"/>
        <v>30</v>
      </c>
    </row>
    <row r="346" spans="1:10">
      <c r="A346">
        <v>1345</v>
      </c>
      <c r="B346" t="s">
        <v>372</v>
      </c>
      <c r="C346" t="s">
        <v>23</v>
      </c>
      <c r="D346" t="s">
        <v>24</v>
      </c>
      <c r="E346" t="s">
        <v>13</v>
      </c>
      <c r="F346">
        <v>1325361</v>
      </c>
      <c r="G346" t="s">
        <v>20</v>
      </c>
      <c r="H346" t="s">
        <v>15</v>
      </c>
      <c r="I346">
        <f t="shared" si="10"/>
        <v>40</v>
      </c>
      <c r="J346" s="1">
        <f t="shared" si="11"/>
        <v>20</v>
      </c>
    </row>
    <row r="347" spans="1:10">
      <c r="A347">
        <v>1346</v>
      </c>
      <c r="B347" t="s">
        <v>373</v>
      </c>
      <c r="C347" t="s">
        <v>23</v>
      </c>
      <c r="D347" t="s">
        <v>24</v>
      </c>
      <c r="E347" t="s">
        <v>25</v>
      </c>
      <c r="F347">
        <v>1569221</v>
      </c>
      <c r="G347" t="s">
        <v>14</v>
      </c>
      <c r="H347" t="s">
        <v>15</v>
      </c>
      <c r="I347">
        <f t="shared" si="10"/>
        <v>20</v>
      </c>
      <c r="J347" s="1">
        <f t="shared" si="11"/>
        <v>20</v>
      </c>
    </row>
    <row r="348" spans="1:10">
      <c r="A348">
        <v>1347</v>
      </c>
      <c r="B348" t="s">
        <v>374</v>
      </c>
      <c r="C348" t="s">
        <v>17</v>
      </c>
      <c r="D348" t="s">
        <v>18</v>
      </c>
      <c r="E348" t="s">
        <v>34</v>
      </c>
      <c r="F348">
        <v>689522</v>
      </c>
      <c r="G348" t="s">
        <v>14</v>
      </c>
      <c r="H348" t="s">
        <v>21</v>
      </c>
      <c r="I348">
        <f t="shared" si="10"/>
        <v>10</v>
      </c>
      <c r="J348" s="1">
        <f t="shared" si="11"/>
        <v>30</v>
      </c>
    </row>
    <row r="349" spans="1:10">
      <c r="A349">
        <v>1348</v>
      </c>
      <c r="B349" t="s">
        <v>375</v>
      </c>
      <c r="C349" t="s">
        <v>27</v>
      </c>
      <c r="D349" t="s">
        <v>12</v>
      </c>
      <c r="E349" t="s">
        <v>34</v>
      </c>
      <c r="F349">
        <v>1317585</v>
      </c>
      <c r="G349" t="s">
        <v>14</v>
      </c>
      <c r="H349" t="s">
        <v>21</v>
      </c>
      <c r="I349">
        <f t="shared" si="10"/>
        <v>20</v>
      </c>
      <c r="J349" s="1">
        <f t="shared" si="11"/>
        <v>10</v>
      </c>
    </row>
    <row r="350" spans="1:10">
      <c r="A350">
        <v>1349</v>
      </c>
      <c r="B350" t="s">
        <v>376</v>
      </c>
      <c r="C350" t="s">
        <v>54</v>
      </c>
      <c r="D350" t="s">
        <v>18</v>
      </c>
      <c r="E350" t="s">
        <v>25</v>
      </c>
      <c r="F350">
        <v>627637</v>
      </c>
      <c r="G350" t="s">
        <v>20</v>
      </c>
      <c r="H350" t="s">
        <v>21</v>
      </c>
      <c r="I350">
        <f t="shared" si="10"/>
        <v>40</v>
      </c>
      <c r="J350" s="1">
        <f t="shared" si="11"/>
        <v>30</v>
      </c>
    </row>
    <row r="351" spans="1:10">
      <c r="A351">
        <v>1350</v>
      </c>
      <c r="B351" t="s">
        <v>377</v>
      </c>
      <c r="C351" t="s">
        <v>39</v>
      </c>
      <c r="D351" t="s">
        <v>12</v>
      </c>
      <c r="E351" t="s">
        <v>13</v>
      </c>
      <c r="F351">
        <v>1348468</v>
      </c>
      <c r="G351" t="s">
        <v>20</v>
      </c>
      <c r="H351" t="s">
        <v>15</v>
      </c>
      <c r="I351">
        <f t="shared" si="10"/>
        <v>40</v>
      </c>
      <c r="J351" s="1">
        <f t="shared" si="11"/>
        <v>10</v>
      </c>
    </row>
    <row r="352" spans="1:10">
      <c r="A352">
        <v>1351</v>
      </c>
      <c r="B352" t="s">
        <v>378</v>
      </c>
      <c r="C352" t="s">
        <v>23</v>
      </c>
      <c r="D352" t="s">
        <v>24</v>
      </c>
      <c r="E352" t="s">
        <v>34</v>
      </c>
      <c r="F352">
        <v>1378200</v>
      </c>
      <c r="G352" t="s">
        <v>14</v>
      </c>
      <c r="H352" t="s">
        <v>15</v>
      </c>
      <c r="I352">
        <f t="shared" si="10"/>
        <v>20</v>
      </c>
      <c r="J352" s="1">
        <f t="shared" si="11"/>
        <v>20</v>
      </c>
    </row>
    <row r="353" spans="1:10">
      <c r="A353">
        <v>1352</v>
      </c>
      <c r="B353" t="s">
        <v>379</v>
      </c>
      <c r="C353" t="s">
        <v>54</v>
      </c>
      <c r="D353" t="s">
        <v>18</v>
      </c>
      <c r="E353" t="s">
        <v>19</v>
      </c>
      <c r="F353">
        <v>1689844</v>
      </c>
      <c r="G353" t="s">
        <v>20</v>
      </c>
      <c r="H353" t="s">
        <v>21</v>
      </c>
      <c r="I353">
        <f t="shared" si="10"/>
        <v>40</v>
      </c>
      <c r="J353" s="1">
        <f t="shared" si="11"/>
        <v>30</v>
      </c>
    </row>
    <row r="354" spans="1:10">
      <c r="A354">
        <v>1353</v>
      </c>
      <c r="B354" t="s">
        <v>380</v>
      </c>
      <c r="C354" t="s">
        <v>23</v>
      </c>
      <c r="D354" t="s">
        <v>24</v>
      </c>
      <c r="E354" t="s">
        <v>19</v>
      </c>
      <c r="F354">
        <v>799747</v>
      </c>
      <c r="G354" t="s">
        <v>20</v>
      </c>
      <c r="H354" t="s">
        <v>15</v>
      </c>
      <c r="I354">
        <f t="shared" si="10"/>
        <v>40</v>
      </c>
      <c r="J354" s="1">
        <f t="shared" si="11"/>
        <v>20</v>
      </c>
    </row>
    <row r="355" spans="1:10">
      <c r="A355">
        <v>1354</v>
      </c>
      <c r="B355" t="s">
        <v>381</v>
      </c>
      <c r="C355" t="s">
        <v>23</v>
      </c>
      <c r="D355" t="s">
        <v>24</v>
      </c>
      <c r="E355" t="s">
        <v>19</v>
      </c>
      <c r="F355">
        <v>503961</v>
      </c>
      <c r="G355" t="s">
        <v>14</v>
      </c>
      <c r="H355" t="s">
        <v>21</v>
      </c>
      <c r="I355">
        <f t="shared" si="10"/>
        <v>10</v>
      </c>
      <c r="J355" s="1">
        <f t="shared" si="11"/>
        <v>20</v>
      </c>
    </row>
    <row r="356" spans="1:10">
      <c r="A356">
        <v>1355</v>
      </c>
      <c r="B356" t="s">
        <v>382</v>
      </c>
      <c r="C356" t="s">
        <v>27</v>
      </c>
      <c r="D356" t="s">
        <v>12</v>
      </c>
      <c r="E356" t="s">
        <v>19</v>
      </c>
      <c r="F356">
        <v>920543</v>
      </c>
      <c r="G356" t="s">
        <v>14</v>
      </c>
      <c r="H356" t="s">
        <v>21</v>
      </c>
      <c r="I356">
        <f t="shared" si="10"/>
        <v>10</v>
      </c>
      <c r="J356" s="1">
        <f t="shared" si="11"/>
        <v>10</v>
      </c>
    </row>
    <row r="357" spans="1:10">
      <c r="A357">
        <v>1356</v>
      </c>
      <c r="B357" t="s">
        <v>383</v>
      </c>
      <c r="C357" t="s">
        <v>17</v>
      </c>
      <c r="D357" t="s">
        <v>18</v>
      </c>
      <c r="E357" t="s">
        <v>13</v>
      </c>
      <c r="F357">
        <v>563314</v>
      </c>
      <c r="G357" t="s">
        <v>20</v>
      </c>
      <c r="H357" t="s">
        <v>15</v>
      </c>
      <c r="I357">
        <f t="shared" si="10"/>
        <v>40</v>
      </c>
      <c r="J357" s="1">
        <f t="shared" si="11"/>
        <v>30</v>
      </c>
    </row>
    <row r="358" spans="1:10">
      <c r="A358">
        <v>1357</v>
      </c>
      <c r="B358" t="s">
        <v>384</v>
      </c>
      <c r="C358" t="s">
        <v>17</v>
      </c>
      <c r="D358" t="s">
        <v>18</v>
      </c>
      <c r="E358" t="s">
        <v>34</v>
      </c>
      <c r="F358">
        <v>979183</v>
      </c>
      <c r="G358" t="s">
        <v>20</v>
      </c>
      <c r="H358" t="s">
        <v>21</v>
      </c>
      <c r="I358">
        <f t="shared" si="10"/>
        <v>40</v>
      </c>
      <c r="J358" s="1">
        <f t="shared" si="11"/>
        <v>30</v>
      </c>
    </row>
    <row r="359" spans="1:10">
      <c r="A359">
        <v>1358</v>
      </c>
      <c r="B359" t="s">
        <v>385</v>
      </c>
      <c r="C359" t="s">
        <v>17</v>
      </c>
      <c r="D359" t="s">
        <v>18</v>
      </c>
      <c r="E359" t="s">
        <v>34</v>
      </c>
      <c r="F359">
        <v>1069019</v>
      </c>
      <c r="G359" t="s">
        <v>14</v>
      </c>
      <c r="H359" t="s">
        <v>15</v>
      </c>
      <c r="I359">
        <f t="shared" si="10"/>
        <v>20</v>
      </c>
      <c r="J359" s="1">
        <f t="shared" si="11"/>
        <v>30</v>
      </c>
    </row>
    <row r="360" spans="1:10">
      <c r="A360">
        <v>1359</v>
      </c>
      <c r="B360" t="s">
        <v>386</v>
      </c>
      <c r="C360" t="s">
        <v>54</v>
      </c>
      <c r="D360" t="s">
        <v>18</v>
      </c>
      <c r="E360" t="s">
        <v>25</v>
      </c>
      <c r="F360">
        <v>1680193</v>
      </c>
      <c r="G360" t="s">
        <v>20</v>
      </c>
      <c r="H360" t="s">
        <v>21</v>
      </c>
      <c r="I360">
        <f t="shared" si="10"/>
        <v>40</v>
      </c>
      <c r="J360" s="1">
        <f t="shared" si="11"/>
        <v>30</v>
      </c>
    </row>
    <row r="361" spans="1:10">
      <c r="A361">
        <v>1360</v>
      </c>
      <c r="B361" t="s">
        <v>387</v>
      </c>
      <c r="C361" t="s">
        <v>23</v>
      </c>
      <c r="D361" t="s">
        <v>24</v>
      </c>
      <c r="E361" t="s">
        <v>34</v>
      </c>
      <c r="F361">
        <v>1473086</v>
      </c>
      <c r="G361" t="s">
        <v>20</v>
      </c>
      <c r="H361" t="s">
        <v>21</v>
      </c>
      <c r="I361">
        <f t="shared" si="10"/>
        <v>40</v>
      </c>
      <c r="J361" s="1">
        <f t="shared" si="11"/>
        <v>20</v>
      </c>
    </row>
    <row r="362" spans="1:10">
      <c r="A362">
        <v>1361</v>
      </c>
      <c r="B362" t="s">
        <v>388</v>
      </c>
      <c r="C362" t="s">
        <v>39</v>
      </c>
      <c r="D362" t="s">
        <v>12</v>
      </c>
      <c r="E362" t="s">
        <v>30</v>
      </c>
      <c r="F362">
        <v>1101144</v>
      </c>
      <c r="G362" t="s">
        <v>14</v>
      </c>
      <c r="H362" t="s">
        <v>21</v>
      </c>
      <c r="I362">
        <f t="shared" si="10"/>
        <v>20</v>
      </c>
      <c r="J362" s="1">
        <f t="shared" si="11"/>
        <v>10</v>
      </c>
    </row>
    <row r="363" spans="1:10">
      <c r="A363">
        <v>1362</v>
      </c>
      <c r="B363" t="s">
        <v>389</v>
      </c>
      <c r="C363" t="s">
        <v>17</v>
      </c>
      <c r="D363" t="s">
        <v>18</v>
      </c>
      <c r="E363" t="s">
        <v>30</v>
      </c>
      <c r="F363">
        <v>735853</v>
      </c>
      <c r="G363" t="s">
        <v>14</v>
      </c>
      <c r="H363" t="s">
        <v>21</v>
      </c>
      <c r="I363">
        <f t="shared" si="10"/>
        <v>10</v>
      </c>
      <c r="J363" s="1">
        <f t="shared" si="11"/>
        <v>30</v>
      </c>
    </row>
    <row r="364" spans="1:10">
      <c r="A364">
        <v>1363</v>
      </c>
      <c r="B364" t="s">
        <v>390</v>
      </c>
      <c r="C364" t="s">
        <v>39</v>
      </c>
      <c r="D364" t="s">
        <v>12</v>
      </c>
      <c r="E364" t="s">
        <v>13</v>
      </c>
      <c r="F364">
        <v>716040</v>
      </c>
      <c r="G364" t="s">
        <v>20</v>
      </c>
      <c r="H364" t="s">
        <v>21</v>
      </c>
      <c r="I364">
        <f t="shared" si="10"/>
        <v>40</v>
      </c>
      <c r="J364" s="1">
        <f t="shared" si="11"/>
        <v>10</v>
      </c>
    </row>
    <row r="365" spans="1:10">
      <c r="A365">
        <v>1364</v>
      </c>
      <c r="B365" t="s">
        <v>391</v>
      </c>
      <c r="C365" t="s">
        <v>17</v>
      </c>
      <c r="D365" t="s">
        <v>18</v>
      </c>
      <c r="E365" t="s">
        <v>19</v>
      </c>
      <c r="F365">
        <v>1216679</v>
      </c>
      <c r="G365" t="s">
        <v>20</v>
      </c>
      <c r="H365" t="s">
        <v>21</v>
      </c>
      <c r="I365">
        <f t="shared" si="10"/>
        <v>40</v>
      </c>
      <c r="J365" s="1">
        <f t="shared" si="11"/>
        <v>30</v>
      </c>
    </row>
    <row r="366" spans="1:10">
      <c r="A366">
        <v>1365</v>
      </c>
      <c r="B366" t="s">
        <v>392</v>
      </c>
      <c r="C366" t="s">
        <v>23</v>
      </c>
      <c r="D366" t="s">
        <v>24</v>
      </c>
      <c r="E366" t="s">
        <v>30</v>
      </c>
      <c r="F366">
        <v>1169868</v>
      </c>
      <c r="G366" t="s">
        <v>14</v>
      </c>
      <c r="H366" t="s">
        <v>15</v>
      </c>
      <c r="I366">
        <f t="shared" si="10"/>
        <v>20</v>
      </c>
      <c r="J366" s="1">
        <f t="shared" si="11"/>
        <v>20</v>
      </c>
    </row>
    <row r="367" spans="1:10">
      <c r="A367">
        <v>1366</v>
      </c>
      <c r="B367" t="s">
        <v>393</v>
      </c>
      <c r="C367" t="s">
        <v>11</v>
      </c>
      <c r="D367" t="s">
        <v>12</v>
      </c>
      <c r="E367" t="s">
        <v>13</v>
      </c>
      <c r="F367">
        <v>1714858</v>
      </c>
      <c r="G367" t="s">
        <v>14</v>
      </c>
      <c r="H367" t="s">
        <v>15</v>
      </c>
      <c r="I367">
        <f t="shared" si="10"/>
        <v>20</v>
      </c>
      <c r="J367" s="1">
        <f t="shared" si="11"/>
        <v>10</v>
      </c>
    </row>
    <row r="368" spans="1:10">
      <c r="A368">
        <v>1367</v>
      </c>
      <c r="B368" t="s">
        <v>394</v>
      </c>
      <c r="C368" t="s">
        <v>17</v>
      </c>
      <c r="D368" t="s">
        <v>18</v>
      </c>
      <c r="E368" t="s">
        <v>19</v>
      </c>
      <c r="F368">
        <v>1623619</v>
      </c>
      <c r="G368" t="s">
        <v>14</v>
      </c>
      <c r="H368" t="s">
        <v>21</v>
      </c>
      <c r="I368">
        <f t="shared" si="10"/>
        <v>20</v>
      </c>
      <c r="J368" s="1">
        <f t="shared" si="11"/>
        <v>30</v>
      </c>
    </row>
    <row r="369" spans="1:10">
      <c r="A369">
        <v>1368</v>
      </c>
      <c r="B369" t="s">
        <v>395</v>
      </c>
      <c r="C369" t="s">
        <v>23</v>
      </c>
      <c r="D369" t="s">
        <v>24</v>
      </c>
      <c r="E369" t="s">
        <v>34</v>
      </c>
      <c r="F369">
        <v>1396097</v>
      </c>
      <c r="G369" t="s">
        <v>20</v>
      </c>
      <c r="H369" t="s">
        <v>21</v>
      </c>
      <c r="I369">
        <f t="shared" si="10"/>
        <v>40</v>
      </c>
      <c r="J369" s="1">
        <f t="shared" si="11"/>
        <v>20</v>
      </c>
    </row>
    <row r="370" spans="1:10">
      <c r="A370">
        <v>1369</v>
      </c>
      <c r="B370" t="s">
        <v>396</v>
      </c>
      <c r="C370" t="s">
        <v>17</v>
      </c>
      <c r="D370" t="s">
        <v>18</v>
      </c>
      <c r="E370" t="s">
        <v>25</v>
      </c>
      <c r="F370">
        <v>894101</v>
      </c>
      <c r="G370" t="s">
        <v>14</v>
      </c>
      <c r="H370" t="s">
        <v>15</v>
      </c>
      <c r="I370">
        <f t="shared" si="10"/>
        <v>10</v>
      </c>
      <c r="J370" s="1">
        <f t="shared" si="11"/>
        <v>30</v>
      </c>
    </row>
    <row r="371" spans="1:10">
      <c r="A371">
        <v>1370</v>
      </c>
      <c r="B371" t="s">
        <v>397</v>
      </c>
      <c r="C371" t="s">
        <v>39</v>
      </c>
      <c r="D371" t="s">
        <v>12</v>
      </c>
      <c r="E371" t="s">
        <v>13</v>
      </c>
      <c r="F371">
        <v>1395990</v>
      </c>
      <c r="G371" t="s">
        <v>20</v>
      </c>
      <c r="H371" t="s">
        <v>15</v>
      </c>
      <c r="I371">
        <f t="shared" si="10"/>
        <v>40</v>
      </c>
      <c r="J371" s="1">
        <f t="shared" si="11"/>
        <v>10</v>
      </c>
    </row>
    <row r="372" spans="1:10">
      <c r="A372">
        <v>1371</v>
      </c>
      <c r="B372" t="s">
        <v>398</v>
      </c>
      <c r="C372" t="s">
        <v>17</v>
      </c>
      <c r="D372" t="s">
        <v>18</v>
      </c>
      <c r="E372" t="s">
        <v>34</v>
      </c>
      <c r="F372">
        <v>1044902</v>
      </c>
      <c r="G372" t="s">
        <v>20</v>
      </c>
      <c r="H372" t="s">
        <v>21</v>
      </c>
      <c r="I372">
        <f t="shared" si="10"/>
        <v>40</v>
      </c>
      <c r="J372" s="1">
        <f t="shared" si="11"/>
        <v>30</v>
      </c>
    </row>
    <row r="373" spans="1:10">
      <c r="A373">
        <v>1372</v>
      </c>
      <c r="B373" t="s">
        <v>399</v>
      </c>
      <c r="C373" t="s">
        <v>17</v>
      </c>
      <c r="D373" t="s">
        <v>18</v>
      </c>
      <c r="E373" t="s">
        <v>30</v>
      </c>
      <c r="F373">
        <v>1888772</v>
      </c>
      <c r="G373" t="s">
        <v>14</v>
      </c>
      <c r="H373" t="s">
        <v>21</v>
      </c>
      <c r="I373">
        <f t="shared" si="10"/>
        <v>20</v>
      </c>
      <c r="J373" s="1">
        <f t="shared" si="11"/>
        <v>30</v>
      </c>
    </row>
    <row r="374" spans="1:10">
      <c r="A374">
        <v>1373</v>
      </c>
      <c r="B374" t="s">
        <v>400</v>
      </c>
      <c r="C374" t="s">
        <v>23</v>
      </c>
      <c r="D374" t="s">
        <v>24</v>
      </c>
      <c r="E374" t="s">
        <v>25</v>
      </c>
      <c r="F374">
        <v>1844821</v>
      </c>
      <c r="G374" t="s">
        <v>20</v>
      </c>
      <c r="H374" t="s">
        <v>15</v>
      </c>
      <c r="I374">
        <f t="shared" si="10"/>
        <v>40</v>
      </c>
      <c r="J374" s="1">
        <f t="shared" si="11"/>
        <v>20</v>
      </c>
    </row>
    <row r="375" spans="1:10">
      <c r="A375">
        <v>1374</v>
      </c>
      <c r="B375" t="s">
        <v>401</v>
      </c>
      <c r="C375" t="s">
        <v>23</v>
      </c>
      <c r="D375" t="s">
        <v>24</v>
      </c>
      <c r="E375" t="s">
        <v>25</v>
      </c>
      <c r="F375">
        <v>381621</v>
      </c>
      <c r="G375" t="s">
        <v>14</v>
      </c>
      <c r="H375" t="s">
        <v>21</v>
      </c>
      <c r="I375">
        <f t="shared" si="10"/>
        <v>10</v>
      </c>
      <c r="J375" s="1">
        <f t="shared" si="11"/>
        <v>20</v>
      </c>
    </row>
    <row r="376" spans="1:10">
      <c r="A376">
        <v>1375</v>
      </c>
      <c r="B376" t="s">
        <v>402</v>
      </c>
      <c r="C376" t="s">
        <v>39</v>
      </c>
      <c r="D376" t="s">
        <v>12</v>
      </c>
      <c r="E376" t="s">
        <v>25</v>
      </c>
      <c r="F376">
        <v>1786412</v>
      </c>
      <c r="G376" t="s">
        <v>14</v>
      </c>
      <c r="H376" t="s">
        <v>21</v>
      </c>
      <c r="I376">
        <f t="shared" si="10"/>
        <v>20</v>
      </c>
      <c r="J376" s="1">
        <f t="shared" si="11"/>
        <v>10</v>
      </c>
    </row>
    <row r="377" spans="1:10">
      <c r="A377">
        <v>1376</v>
      </c>
      <c r="B377" t="s">
        <v>403</v>
      </c>
      <c r="C377" t="s">
        <v>54</v>
      </c>
      <c r="D377" t="s">
        <v>18</v>
      </c>
      <c r="E377" t="s">
        <v>30</v>
      </c>
      <c r="F377">
        <v>1692329</v>
      </c>
      <c r="G377" t="s">
        <v>20</v>
      </c>
      <c r="H377" t="s">
        <v>21</v>
      </c>
      <c r="I377">
        <f t="shared" si="10"/>
        <v>40</v>
      </c>
      <c r="J377" s="1">
        <f t="shared" si="11"/>
        <v>30</v>
      </c>
    </row>
    <row r="378" spans="1:10">
      <c r="A378">
        <v>1377</v>
      </c>
      <c r="B378" t="s">
        <v>404</v>
      </c>
      <c r="C378" t="s">
        <v>27</v>
      </c>
      <c r="D378" t="s">
        <v>12</v>
      </c>
      <c r="E378" t="s">
        <v>30</v>
      </c>
      <c r="F378">
        <v>1347712</v>
      </c>
      <c r="G378" t="s">
        <v>14</v>
      </c>
      <c r="H378" t="s">
        <v>21</v>
      </c>
      <c r="I378">
        <f t="shared" si="10"/>
        <v>20</v>
      </c>
      <c r="J378" s="1">
        <f t="shared" si="11"/>
        <v>10</v>
      </c>
    </row>
    <row r="379" spans="1:10">
      <c r="A379">
        <v>1378</v>
      </c>
      <c r="B379" t="s">
        <v>405</v>
      </c>
      <c r="C379" t="s">
        <v>39</v>
      </c>
      <c r="D379" t="s">
        <v>12</v>
      </c>
      <c r="E379" t="s">
        <v>34</v>
      </c>
      <c r="F379">
        <v>1859019</v>
      </c>
      <c r="G379" t="s">
        <v>14</v>
      </c>
      <c r="H379" t="s">
        <v>15</v>
      </c>
      <c r="I379">
        <f t="shared" si="10"/>
        <v>20</v>
      </c>
      <c r="J379" s="1">
        <f t="shared" si="11"/>
        <v>10</v>
      </c>
    </row>
    <row r="380" spans="1:10">
      <c r="A380">
        <v>1379</v>
      </c>
      <c r="B380" t="s">
        <v>406</v>
      </c>
      <c r="C380" t="s">
        <v>23</v>
      </c>
      <c r="D380" t="s">
        <v>24</v>
      </c>
      <c r="E380" t="s">
        <v>13</v>
      </c>
      <c r="F380">
        <v>589347</v>
      </c>
      <c r="G380" t="s">
        <v>20</v>
      </c>
      <c r="H380" t="s">
        <v>21</v>
      </c>
      <c r="I380">
        <f t="shared" si="10"/>
        <v>40</v>
      </c>
      <c r="J380" s="1">
        <f t="shared" si="11"/>
        <v>20</v>
      </c>
    </row>
    <row r="381" spans="1:10">
      <c r="A381">
        <v>1380</v>
      </c>
      <c r="B381" t="s">
        <v>407</v>
      </c>
      <c r="C381" t="s">
        <v>54</v>
      </c>
      <c r="D381" t="s">
        <v>18</v>
      </c>
      <c r="E381" t="s">
        <v>30</v>
      </c>
      <c r="F381">
        <v>1156213</v>
      </c>
      <c r="G381" t="s">
        <v>14</v>
      </c>
      <c r="H381" t="s">
        <v>21</v>
      </c>
      <c r="I381">
        <f t="shared" si="10"/>
        <v>20</v>
      </c>
      <c r="J381" s="1">
        <f t="shared" si="11"/>
        <v>30</v>
      </c>
    </row>
    <row r="382" spans="1:10">
      <c r="A382">
        <v>1381</v>
      </c>
      <c r="B382" t="s">
        <v>408</v>
      </c>
      <c r="C382" t="s">
        <v>54</v>
      </c>
      <c r="D382" t="s">
        <v>18</v>
      </c>
      <c r="E382" t="s">
        <v>34</v>
      </c>
      <c r="F382">
        <v>1008037</v>
      </c>
      <c r="G382" t="s">
        <v>14</v>
      </c>
      <c r="H382" t="s">
        <v>21</v>
      </c>
      <c r="I382">
        <f t="shared" si="10"/>
        <v>20</v>
      </c>
      <c r="J382" s="1">
        <f t="shared" si="11"/>
        <v>30</v>
      </c>
    </row>
    <row r="383" spans="1:10">
      <c r="A383">
        <v>1382</v>
      </c>
      <c r="B383" t="s">
        <v>409</v>
      </c>
      <c r="C383" t="s">
        <v>23</v>
      </c>
      <c r="D383" t="s">
        <v>24</v>
      </c>
      <c r="E383" t="s">
        <v>25</v>
      </c>
      <c r="F383">
        <v>1015800</v>
      </c>
      <c r="G383" t="s">
        <v>20</v>
      </c>
      <c r="H383" t="s">
        <v>21</v>
      </c>
      <c r="I383">
        <f t="shared" si="10"/>
        <v>40</v>
      </c>
      <c r="J383" s="1">
        <f t="shared" si="11"/>
        <v>20</v>
      </c>
    </row>
    <row r="384" spans="1:10">
      <c r="A384">
        <v>1383</v>
      </c>
      <c r="B384" t="s">
        <v>410</v>
      </c>
      <c r="C384" t="s">
        <v>54</v>
      </c>
      <c r="D384" t="s">
        <v>18</v>
      </c>
      <c r="E384" t="s">
        <v>19</v>
      </c>
      <c r="F384">
        <v>1826962</v>
      </c>
      <c r="G384" t="s">
        <v>20</v>
      </c>
      <c r="H384" t="s">
        <v>15</v>
      </c>
      <c r="I384">
        <f t="shared" si="10"/>
        <v>40</v>
      </c>
      <c r="J384" s="1">
        <f t="shared" si="11"/>
        <v>30</v>
      </c>
    </row>
    <row r="385" spans="1:10">
      <c r="A385">
        <v>1384</v>
      </c>
      <c r="B385" t="s">
        <v>411</v>
      </c>
      <c r="C385" t="s">
        <v>23</v>
      </c>
      <c r="D385" t="s">
        <v>24</v>
      </c>
      <c r="E385" t="s">
        <v>13</v>
      </c>
      <c r="F385">
        <v>1469888</v>
      </c>
      <c r="G385" t="s">
        <v>20</v>
      </c>
      <c r="H385" t="s">
        <v>21</v>
      </c>
      <c r="I385">
        <f t="shared" si="10"/>
        <v>40</v>
      </c>
      <c r="J385" s="1">
        <f t="shared" si="11"/>
        <v>20</v>
      </c>
    </row>
    <row r="386" spans="1:10">
      <c r="A386">
        <v>1385</v>
      </c>
      <c r="B386" t="s">
        <v>412</v>
      </c>
      <c r="C386" t="s">
        <v>27</v>
      </c>
      <c r="D386" t="s">
        <v>12</v>
      </c>
      <c r="E386" t="s">
        <v>34</v>
      </c>
      <c r="F386">
        <v>1317090</v>
      </c>
      <c r="G386" t="s">
        <v>20</v>
      </c>
      <c r="H386" t="s">
        <v>15</v>
      </c>
      <c r="I386">
        <f t="shared" si="10"/>
        <v>40</v>
      </c>
      <c r="J386" s="1">
        <f t="shared" si="11"/>
        <v>10</v>
      </c>
    </row>
    <row r="387" spans="1:10">
      <c r="A387">
        <v>1386</v>
      </c>
      <c r="B387" t="s">
        <v>413</v>
      </c>
      <c r="C387" t="s">
        <v>39</v>
      </c>
      <c r="D387" t="s">
        <v>12</v>
      </c>
      <c r="E387" t="s">
        <v>25</v>
      </c>
      <c r="F387">
        <v>1168666</v>
      </c>
      <c r="G387" t="s">
        <v>20</v>
      </c>
      <c r="H387" t="s">
        <v>21</v>
      </c>
      <c r="I387">
        <f t="shared" ref="I387:I450" si="12">IF(TRIM(LOWER(G387))="yes",40,IF(VALUE(F387)&gt;1000000,20,10))</f>
        <v>40</v>
      </c>
      <c r="J387" s="1">
        <f t="shared" ref="J387:J450" si="13">IF(OR(C387="UAE",C387="Nigeria"),30,IF(C387="USA",20,10))</f>
        <v>10</v>
      </c>
    </row>
    <row r="388" spans="1:10">
      <c r="A388">
        <v>1387</v>
      </c>
      <c r="B388" t="s">
        <v>414</v>
      </c>
      <c r="C388" t="s">
        <v>11</v>
      </c>
      <c r="D388" t="s">
        <v>12</v>
      </c>
      <c r="E388" t="s">
        <v>25</v>
      </c>
      <c r="F388">
        <v>1137028</v>
      </c>
      <c r="G388" t="s">
        <v>20</v>
      </c>
      <c r="H388" t="s">
        <v>15</v>
      </c>
      <c r="I388">
        <f t="shared" si="12"/>
        <v>40</v>
      </c>
      <c r="J388" s="1">
        <f t="shared" si="13"/>
        <v>10</v>
      </c>
    </row>
    <row r="389" spans="1:10">
      <c r="A389">
        <v>1388</v>
      </c>
      <c r="B389" t="s">
        <v>415</v>
      </c>
      <c r="C389" t="s">
        <v>23</v>
      </c>
      <c r="D389" t="s">
        <v>24</v>
      </c>
      <c r="E389" t="s">
        <v>30</v>
      </c>
      <c r="F389">
        <v>1488606</v>
      </c>
      <c r="G389" t="s">
        <v>14</v>
      </c>
      <c r="H389" t="s">
        <v>15</v>
      </c>
      <c r="I389">
        <f t="shared" si="12"/>
        <v>20</v>
      </c>
      <c r="J389" s="1">
        <f t="shared" si="13"/>
        <v>20</v>
      </c>
    </row>
    <row r="390" spans="1:10">
      <c r="A390">
        <v>1389</v>
      </c>
      <c r="B390" t="s">
        <v>416</v>
      </c>
      <c r="C390" t="s">
        <v>17</v>
      </c>
      <c r="D390" t="s">
        <v>18</v>
      </c>
      <c r="E390" t="s">
        <v>34</v>
      </c>
      <c r="F390">
        <v>1071472</v>
      </c>
      <c r="G390" t="s">
        <v>20</v>
      </c>
      <c r="H390" t="s">
        <v>21</v>
      </c>
      <c r="I390">
        <f t="shared" si="12"/>
        <v>40</v>
      </c>
      <c r="J390" s="1">
        <f t="shared" si="13"/>
        <v>30</v>
      </c>
    </row>
    <row r="391" spans="1:10">
      <c r="A391">
        <v>1390</v>
      </c>
      <c r="B391" t="s">
        <v>417</v>
      </c>
      <c r="C391" t="s">
        <v>23</v>
      </c>
      <c r="D391" t="s">
        <v>24</v>
      </c>
      <c r="E391" t="s">
        <v>34</v>
      </c>
      <c r="F391">
        <v>575588</v>
      </c>
      <c r="G391" t="s">
        <v>14</v>
      </c>
      <c r="H391" t="s">
        <v>21</v>
      </c>
      <c r="I391">
        <f t="shared" si="12"/>
        <v>10</v>
      </c>
      <c r="J391" s="1">
        <f t="shared" si="13"/>
        <v>20</v>
      </c>
    </row>
    <row r="392" spans="1:10">
      <c r="A392">
        <v>1391</v>
      </c>
      <c r="B392" t="s">
        <v>418</v>
      </c>
      <c r="C392" t="s">
        <v>23</v>
      </c>
      <c r="D392" t="s">
        <v>24</v>
      </c>
      <c r="E392" t="s">
        <v>25</v>
      </c>
      <c r="F392">
        <v>642017</v>
      </c>
      <c r="G392" t="s">
        <v>14</v>
      </c>
      <c r="H392" t="s">
        <v>15</v>
      </c>
      <c r="I392">
        <f t="shared" si="12"/>
        <v>10</v>
      </c>
      <c r="J392" s="1">
        <f t="shared" si="13"/>
        <v>20</v>
      </c>
    </row>
    <row r="393" spans="1:10">
      <c r="A393">
        <v>1392</v>
      </c>
      <c r="B393" t="s">
        <v>419</v>
      </c>
      <c r="C393" t="s">
        <v>39</v>
      </c>
      <c r="D393" t="s">
        <v>12</v>
      </c>
      <c r="E393" t="s">
        <v>30</v>
      </c>
      <c r="F393">
        <v>1312709</v>
      </c>
      <c r="G393" t="s">
        <v>20</v>
      </c>
      <c r="H393" t="s">
        <v>15</v>
      </c>
      <c r="I393">
        <f t="shared" si="12"/>
        <v>40</v>
      </c>
      <c r="J393" s="1">
        <f t="shared" si="13"/>
        <v>10</v>
      </c>
    </row>
    <row r="394" spans="1:10">
      <c r="A394">
        <v>1393</v>
      </c>
      <c r="B394" t="s">
        <v>420</v>
      </c>
      <c r="C394" t="s">
        <v>54</v>
      </c>
      <c r="D394" t="s">
        <v>18</v>
      </c>
      <c r="E394" t="s">
        <v>34</v>
      </c>
      <c r="F394">
        <v>1832419</v>
      </c>
      <c r="G394" t="s">
        <v>20</v>
      </c>
      <c r="H394" t="s">
        <v>15</v>
      </c>
      <c r="I394">
        <f t="shared" si="12"/>
        <v>40</v>
      </c>
      <c r="J394" s="1">
        <f t="shared" si="13"/>
        <v>30</v>
      </c>
    </row>
    <row r="395" spans="1:10">
      <c r="A395">
        <v>1394</v>
      </c>
      <c r="B395" t="s">
        <v>421</v>
      </c>
      <c r="C395" t="s">
        <v>39</v>
      </c>
      <c r="D395" t="s">
        <v>12</v>
      </c>
      <c r="E395" t="s">
        <v>13</v>
      </c>
      <c r="F395">
        <v>729477</v>
      </c>
      <c r="G395" t="s">
        <v>14</v>
      </c>
      <c r="H395" t="s">
        <v>15</v>
      </c>
      <c r="I395">
        <f t="shared" si="12"/>
        <v>10</v>
      </c>
      <c r="J395" s="1">
        <f t="shared" si="13"/>
        <v>10</v>
      </c>
    </row>
    <row r="396" spans="1:10">
      <c r="A396">
        <v>1395</v>
      </c>
      <c r="B396" t="s">
        <v>422</v>
      </c>
      <c r="C396" t="s">
        <v>17</v>
      </c>
      <c r="D396" t="s">
        <v>18</v>
      </c>
      <c r="E396" t="s">
        <v>25</v>
      </c>
      <c r="F396">
        <v>850686</v>
      </c>
      <c r="G396" t="s">
        <v>14</v>
      </c>
      <c r="H396" t="s">
        <v>21</v>
      </c>
      <c r="I396">
        <f t="shared" si="12"/>
        <v>10</v>
      </c>
      <c r="J396" s="1">
        <f t="shared" si="13"/>
        <v>30</v>
      </c>
    </row>
    <row r="397" spans="1:10">
      <c r="A397">
        <v>1396</v>
      </c>
      <c r="B397" t="s">
        <v>423</v>
      </c>
      <c r="C397" t="s">
        <v>39</v>
      </c>
      <c r="D397" t="s">
        <v>12</v>
      </c>
      <c r="E397" t="s">
        <v>30</v>
      </c>
      <c r="F397">
        <v>336163</v>
      </c>
      <c r="G397" t="s">
        <v>14</v>
      </c>
      <c r="H397" t="s">
        <v>21</v>
      </c>
      <c r="I397">
        <f t="shared" si="12"/>
        <v>10</v>
      </c>
      <c r="J397" s="1">
        <f t="shared" si="13"/>
        <v>10</v>
      </c>
    </row>
    <row r="398" spans="1:10">
      <c r="A398">
        <v>1397</v>
      </c>
      <c r="B398" t="s">
        <v>424</v>
      </c>
      <c r="C398" t="s">
        <v>11</v>
      </c>
      <c r="D398" t="s">
        <v>12</v>
      </c>
      <c r="E398" t="s">
        <v>25</v>
      </c>
      <c r="F398">
        <v>1684867</v>
      </c>
      <c r="G398" t="s">
        <v>14</v>
      </c>
      <c r="H398" t="s">
        <v>21</v>
      </c>
      <c r="I398">
        <f t="shared" si="12"/>
        <v>20</v>
      </c>
      <c r="J398" s="1">
        <f t="shared" si="13"/>
        <v>10</v>
      </c>
    </row>
    <row r="399" spans="1:10">
      <c r="A399">
        <v>1398</v>
      </c>
      <c r="B399" t="s">
        <v>425</v>
      </c>
      <c r="C399" t="s">
        <v>39</v>
      </c>
      <c r="D399" t="s">
        <v>12</v>
      </c>
      <c r="E399" t="s">
        <v>34</v>
      </c>
      <c r="F399">
        <v>698887</v>
      </c>
      <c r="G399" t="s">
        <v>14</v>
      </c>
      <c r="H399" t="s">
        <v>15</v>
      </c>
      <c r="I399">
        <f t="shared" si="12"/>
        <v>10</v>
      </c>
      <c r="J399" s="1">
        <f t="shared" si="13"/>
        <v>10</v>
      </c>
    </row>
    <row r="400" spans="1:10">
      <c r="A400">
        <v>1399</v>
      </c>
      <c r="B400" t="s">
        <v>426</v>
      </c>
      <c r="C400" t="s">
        <v>17</v>
      </c>
      <c r="D400" t="s">
        <v>18</v>
      </c>
      <c r="E400" t="s">
        <v>13</v>
      </c>
      <c r="F400">
        <v>1848378</v>
      </c>
      <c r="G400" t="s">
        <v>20</v>
      </c>
      <c r="H400" t="s">
        <v>21</v>
      </c>
      <c r="I400">
        <f t="shared" si="12"/>
        <v>40</v>
      </c>
      <c r="J400" s="1">
        <f t="shared" si="13"/>
        <v>30</v>
      </c>
    </row>
    <row r="401" spans="1:10">
      <c r="A401">
        <v>1400</v>
      </c>
      <c r="B401" t="s">
        <v>427</v>
      </c>
      <c r="C401" t="s">
        <v>39</v>
      </c>
      <c r="D401" t="s">
        <v>12</v>
      </c>
      <c r="E401" t="s">
        <v>34</v>
      </c>
      <c r="F401">
        <v>560546</v>
      </c>
      <c r="G401" t="s">
        <v>14</v>
      </c>
      <c r="H401" t="s">
        <v>21</v>
      </c>
      <c r="I401">
        <f t="shared" si="12"/>
        <v>10</v>
      </c>
      <c r="J401" s="1">
        <f t="shared" si="13"/>
        <v>10</v>
      </c>
    </row>
    <row r="402" spans="1:10">
      <c r="A402">
        <v>1401</v>
      </c>
      <c r="B402" t="s">
        <v>428</v>
      </c>
      <c r="C402" t="s">
        <v>23</v>
      </c>
      <c r="D402" t="s">
        <v>24</v>
      </c>
      <c r="E402" t="s">
        <v>30</v>
      </c>
      <c r="F402">
        <v>1822541</v>
      </c>
      <c r="G402" t="s">
        <v>14</v>
      </c>
      <c r="H402" t="s">
        <v>21</v>
      </c>
      <c r="I402">
        <f t="shared" si="12"/>
        <v>20</v>
      </c>
      <c r="J402" s="1">
        <f t="shared" si="13"/>
        <v>20</v>
      </c>
    </row>
    <row r="403" spans="1:10">
      <c r="A403">
        <v>1402</v>
      </c>
      <c r="B403" t="s">
        <v>429</v>
      </c>
      <c r="C403" t="s">
        <v>54</v>
      </c>
      <c r="D403" t="s">
        <v>18</v>
      </c>
      <c r="E403" t="s">
        <v>25</v>
      </c>
      <c r="F403">
        <v>1865603</v>
      </c>
      <c r="G403" t="s">
        <v>20</v>
      </c>
      <c r="H403" t="s">
        <v>15</v>
      </c>
      <c r="I403">
        <f t="shared" si="12"/>
        <v>40</v>
      </c>
      <c r="J403" s="1">
        <f t="shared" si="13"/>
        <v>30</v>
      </c>
    </row>
    <row r="404" spans="1:10">
      <c r="A404">
        <v>1403</v>
      </c>
      <c r="B404" t="s">
        <v>430</v>
      </c>
      <c r="C404" t="s">
        <v>11</v>
      </c>
      <c r="D404" t="s">
        <v>12</v>
      </c>
      <c r="E404" t="s">
        <v>34</v>
      </c>
      <c r="F404">
        <v>1101271</v>
      </c>
      <c r="G404" t="s">
        <v>14</v>
      </c>
      <c r="H404" t="s">
        <v>21</v>
      </c>
      <c r="I404">
        <f t="shared" si="12"/>
        <v>20</v>
      </c>
      <c r="J404" s="1">
        <f t="shared" si="13"/>
        <v>10</v>
      </c>
    </row>
    <row r="405" spans="1:10">
      <c r="A405">
        <v>1404</v>
      </c>
      <c r="B405" t="s">
        <v>431</v>
      </c>
      <c r="C405" t="s">
        <v>27</v>
      </c>
      <c r="D405" t="s">
        <v>12</v>
      </c>
      <c r="E405" t="s">
        <v>34</v>
      </c>
      <c r="F405">
        <v>1501905</v>
      </c>
      <c r="G405" t="s">
        <v>20</v>
      </c>
      <c r="H405" t="s">
        <v>15</v>
      </c>
      <c r="I405">
        <f t="shared" si="12"/>
        <v>40</v>
      </c>
      <c r="J405" s="1">
        <f t="shared" si="13"/>
        <v>10</v>
      </c>
    </row>
    <row r="406" spans="1:10">
      <c r="A406">
        <v>1405</v>
      </c>
      <c r="B406" t="s">
        <v>432</v>
      </c>
      <c r="C406" t="s">
        <v>39</v>
      </c>
      <c r="D406" t="s">
        <v>12</v>
      </c>
      <c r="E406" t="s">
        <v>13</v>
      </c>
      <c r="F406">
        <v>516768</v>
      </c>
      <c r="G406" t="s">
        <v>14</v>
      </c>
      <c r="H406" t="s">
        <v>21</v>
      </c>
      <c r="I406">
        <f t="shared" si="12"/>
        <v>10</v>
      </c>
      <c r="J406" s="1">
        <f t="shared" si="13"/>
        <v>10</v>
      </c>
    </row>
    <row r="407" spans="1:10">
      <c r="A407">
        <v>1406</v>
      </c>
      <c r="B407" t="s">
        <v>433</v>
      </c>
      <c r="C407" t="s">
        <v>11</v>
      </c>
      <c r="D407" t="s">
        <v>12</v>
      </c>
      <c r="E407" t="s">
        <v>34</v>
      </c>
      <c r="F407">
        <v>938941</v>
      </c>
      <c r="G407" t="s">
        <v>20</v>
      </c>
      <c r="H407" t="s">
        <v>15</v>
      </c>
      <c r="I407">
        <f t="shared" si="12"/>
        <v>40</v>
      </c>
      <c r="J407" s="1">
        <f t="shared" si="13"/>
        <v>10</v>
      </c>
    </row>
    <row r="408" spans="1:10">
      <c r="A408">
        <v>1407</v>
      </c>
      <c r="B408" t="s">
        <v>434</v>
      </c>
      <c r="C408" t="s">
        <v>39</v>
      </c>
      <c r="D408" t="s">
        <v>12</v>
      </c>
      <c r="E408" t="s">
        <v>19</v>
      </c>
      <c r="F408">
        <v>1602227</v>
      </c>
      <c r="G408" t="s">
        <v>14</v>
      </c>
      <c r="H408" t="s">
        <v>21</v>
      </c>
      <c r="I408">
        <f t="shared" si="12"/>
        <v>20</v>
      </c>
      <c r="J408" s="1">
        <f t="shared" si="13"/>
        <v>10</v>
      </c>
    </row>
    <row r="409" spans="1:10">
      <c r="A409">
        <v>1408</v>
      </c>
      <c r="B409" t="s">
        <v>435</v>
      </c>
      <c r="C409" t="s">
        <v>11</v>
      </c>
      <c r="D409" t="s">
        <v>12</v>
      </c>
      <c r="E409" t="s">
        <v>25</v>
      </c>
      <c r="F409">
        <v>1542588</v>
      </c>
      <c r="G409" t="s">
        <v>14</v>
      </c>
      <c r="H409" t="s">
        <v>21</v>
      </c>
      <c r="I409">
        <f t="shared" si="12"/>
        <v>20</v>
      </c>
      <c r="J409" s="1">
        <f t="shared" si="13"/>
        <v>10</v>
      </c>
    </row>
    <row r="410" spans="1:10">
      <c r="A410">
        <v>1409</v>
      </c>
      <c r="B410" t="s">
        <v>436</v>
      </c>
      <c r="C410" t="s">
        <v>17</v>
      </c>
      <c r="D410" t="s">
        <v>18</v>
      </c>
      <c r="E410" t="s">
        <v>34</v>
      </c>
      <c r="F410">
        <v>521284</v>
      </c>
      <c r="G410" t="s">
        <v>14</v>
      </c>
      <c r="H410" t="s">
        <v>21</v>
      </c>
      <c r="I410">
        <f t="shared" si="12"/>
        <v>10</v>
      </c>
      <c r="J410" s="1">
        <f t="shared" si="13"/>
        <v>30</v>
      </c>
    </row>
    <row r="411" spans="1:10">
      <c r="A411">
        <v>1410</v>
      </c>
      <c r="B411" t="s">
        <v>437</v>
      </c>
      <c r="C411" t="s">
        <v>17</v>
      </c>
      <c r="D411" t="s">
        <v>18</v>
      </c>
      <c r="E411" t="s">
        <v>19</v>
      </c>
      <c r="F411">
        <v>908691</v>
      </c>
      <c r="G411" t="s">
        <v>20</v>
      </c>
      <c r="H411" t="s">
        <v>15</v>
      </c>
      <c r="I411">
        <f t="shared" si="12"/>
        <v>40</v>
      </c>
      <c r="J411" s="1">
        <f t="shared" si="13"/>
        <v>30</v>
      </c>
    </row>
    <row r="412" spans="1:10">
      <c r="A412">
        <v>1411</v>
      </c>
      <c r="B412" t="s">
        <v>438</v>
      </c>
      <c r="C412" t="s">
        <v>17</v>
      </c>
      <c r="D412" t="s">
        <v>18</v>
      </c>
      <c r="E412" t="s">
        <v>13</v>
      </c>
      <c r="F412">
        <v>1318002</v>
      </c>
      <c r="G412" t="s">
        <v>20</v>
      </c>
      <c r="H412" t="s">
        <v>21</v>
      </c>
      <c r="I412">
        <f t="shared" si="12"/>
        <v>40</v>
      </c>
      <c r="J412" s="1">
        <f t="shared" si="13"/>
        <v>30</v>
      </c>
    </row>
    <row r="413" spans="1:10">
      <c r="A413">
        <v>1412</v>
      </c>
      <c r="B413" t="s">
        <v>439</v>
      </c>
      <c r="C413" t="s">
        <v>54</v>
      </c>
      <c r="D413" t="s">
        <v>18</v>
      </c>
      <c r="E413" t="s">
        <v>30</v>
      </c>
      <c r="F413">
        <v>1874326</v>
      </c>
      <c r="G413" t="s">
        <v>20</v>
      </c>
      <c r="H413" t="s">
        <v>15</v>
      </c>
      <c r="I413">
        <f t="shared" si="12"/>
        <v>40</v>
      </c>
      <c r="J413" s="1">
        <f t="shared" si="13"/>
        <v>30</v>
      </c>
    </row>
    <row r="414" spans="1:10">
      <c r="A414">
        <v>1413</v>
      </c>
      <c r="B414" t="s">
        <v>440</v>
      </c>
      <c r="C414" t="s">
        <v>54</v>
      </c>
      <c r="D414" t="s">
        <v>18</v>
      </c>
      <c r="E414" t="s">
        <v>19</v>
      </c>
      <c r="F414">
        <v>539493</v>
      </c>
      <c r="G414" t="s">
        <v>20</v>
      </c>
      <c r="H414" t="s">
        <v>21</v>
      </c>
      <c r="I414">
        <f t="shared" si="12"/>
        <v>40</v>
      </c>
      <c r="J414" s="1">
        <f t="shared" si="13"/>
        <v>30</v>
      </c>
    </row>
    <row r="415" spans="1:10">
      <c r="A415">
        <v>1414</v>
      </c>
      <c r="B415" t="s">
        <v>441</v>
      </c>
      <c r="C415" t="s">
        <v>27</v>
      </c>
      <c r="D415" t="s">
        <v>12</v>
      </c>
      <c r="E415" t="s">
        <v>19</v>
      </c>
      <c r="F415">
        <v>1185232</v>
      </c>
      <c r="G415" t="s">
        <v>20</v>
      </c>
      <c r="H415" t="s">
        <v>21</v>
      </c>
      <c r="I415">
        <f t="shared" si="12"/>
        <v>40</v>
      </c>
      <c r="J415" s="1">
        <f t="shared" si="13"/>
        <v>10</v>
      </c>
    </row>
    <row r="416" spans="1:10">
      <c r="A416">
        <v>1415</v>
      </c>
      <c r="B416" t="s">
        <v>442</v>
      </c>
      <c r="C416" t="s">
        <v>54</v>
      </c>
      <c r="D416" t="s">
        <v>18</v>
      </c>
      <c r="E416" t="s">
        <v>30</v>
      </c>
      <c r="F416">
        <v>459549</v>
      </c>
      <c r="G416" t="s">
        <v>14</v>
      </c>
      <c r="H416" t="s">
        <v>15</v>
      </c>
      <c r="I416">
        <f t="shared" si="12"/>
        <v>10</v>
      </c>
      <c r="J416" s="1">
        <f t="shared" si="13"/>
        <v>30</v>
      </c>
    </row>
    <row r="417" spans="1:10">
      <c r="A417">
        <v>1416</v>
      </c>
      <c r="B417" t="s">
        <v>443</v>
      </c>
      <c r="C417" t="s">
        <v>54</v>
      </c>
      <c r="D417" t="s">
        <v>18</v>
      </c>
      <c r="E417" t="s">
        <v>25</v>
      </c>
      <c r="F417">
        <v>1944061</v>
      </c>
      <c r="G417" t="s">
        <v>14</v>
      </c>
      <c r="H417" t="s">
        <v>15</v>
      </c>
      <c r="I417">
        <f t="shared" si="12"/>
        <v>20</v>
      </c>
      <c r="J417" s="1">
        <f t="shared" si="13"/>
        <v>30</v>
      </c>
    </row>
    <row r="418" spans="1:10">
      <c r="A418">
        <v>1417</v>
      </c>
      <c r="B418" t="s">
        <v>444</v>
      </c>
      <c r="C418" t="s">
        <v>17</v>
      </c>
      <c r="D418" t="s">
        <v>18</v>
      </c>
      <c r="E418" t="s">
        <v>13</v>
      </c>
      <c r="F418">
        <v>649371</v>
      </c>
      <c r="G418" t="s">
        <v>14</v>
      </c>
      <c r="H418" t="s">
        <v>15</v>
      </c>
      <c r="I418">
        <f t="shared" si="12"/>
        <v>10</v>
      </c>
      <c r="J418" s="1">
        <f t="shared" si="13"/>
        <v>30</v>
      </c>
    </row>
    <row r="419" spans="1:10">
      <c r="A419">
        <v>1418</v>
      </c>
      <c r="B419" t="s">
        <v>445</v>
      </c>
      <c r="C419" t="s">
        <v>54</v>
      </c>
      <c r="D419" t="s">
        <v>18</v>
      </c>
      <c r="E419" t="s">
        <v>34</v>
      </c>
      <c r="F419">
        <v>1294927</v>
      </c>
      <c r="G419" t="s">
        <v>20</v>
      </c>
      <c r="H419" t="s">
        <v>15</v>
      </c>
      <c r="I419">
        <f t="shared" si="12"/>
        <v>40</v>
      </c>
      <c r="J419" s="1">
        <f t="shared" si="13"/>
        <v>30</v>
      </c>
    </row>
    <row r="420" spans="1:10">
      <c r="A420">
        <v>1419</v>
      </c>
      <c r="B420" t="s">
        <v>446</v>
      </c>
      <c r="C420" t="s">
        <v>39</v>
      </c>
      <c r="D420" t="s">
        <v>12</v>
      </c>
      <c r="E420" t="s">
        <v>34</v>
      </c>
      <c r="F420">
        <v>487883</v>
      </c>
      <c r="G420" t="s">
        <v>14</v>
      </c>
      <c r="H420" t="s">
        <v>21</v>
      </c>
      <c r="I420">
        <f t="shared" si="12"/>
        <v>10</v>
      </c>
      <c r="J420" s="1">
        <f t="shared" si="13"/>
        <v>10</v>
      </c>
    </row>
    <row r="421" spans="1:10">
      <c r="A421">
        <v>1420</v>
      </c>
      <c r="B421" t="s">
        <v>447</v>
      </c>
      <c r="C421" t="s">
        <v>23</v>
      </c>
      <c r="D421" t="s">
        <v>24</v>
      </c>
      <c r="E421" t="s">
        <v>19</v>
      </c>
      <c r="F421">
        <v>1792286</v>
      </c>
      <c r="G421" t="s">
        <v>14</v>
      </c>
      <c r="H421" t="s">
        <v>15</v>
      </c>
      <c r="I421">
        <f t="shared" si="12"/>
        <v>20</v>
      </c>
      <c r="J421" s="1">
        <f t="shared" si="13"/>
        <v>20</v>
      </c>
    </row>
    <row r="422" spans="1:10">
      <c r="A422">
        <v>1421</v>
      </c>
      <c r="B422" t="s">
        <v>448</v>
      </c>
      <c r="C422" t="s">
        <v>27</v>
      </c>
      <c r="D422" t="s">
        <v>12</v>
      </c>
      <c r="E422" t="s">
        <v>19</v>
      </c>
      <c r="F422">
        <v>1028754</v>
      </c>
      <c r="G422" t="s">
        <v>14</v>
      </c>
      <c r="H422" t="s">
        <v>21</v>
      </c>
      <c r="I422">
        <f t="shared" si="12"/>
        <v>20</v>
      </c>
      <c r="J422" s="1">
        <f t="shared" si="13"/>
        <v>10</v>
      </c>
    </row>
    <row r="423" spans="1:10">
      <c r="A423">
        <v>1422</v>
      </c>
      <c r="B423" t="s">
        <v>449</v>
      </c>
      <c r="C423" t="s">
        <v>23</v>
      </c>
      <c r="D423" t="s">
        <v>24</v>
      </c>
      <c r="E423" t="s">
        <v>25</v>
      </c>
      <c r="F423">
        <v>434923</v>
      </c>
      <c r="G423" t="s">
        <v>14</v>
      </c>
      <c r="H423" t="s">
        <v>15</v>
      </c>
      <c r="I423">
        <f t="shared" si="12"/>
        <v>10</v>
      </c>
      <c r="J423" s="1">
        <f t="shared" si="13"/>
        <v>20</v>
      </c>
    </row>
    <row r="424" spans="1:10">
      <c r="A424">
        <v>1423</v>
      </c>
      <c r="B424" t="s">
        <v>450</v>
      </c>
      <c r="C424" t="s">
        <v>11</v>
      </c>
      <c r="D424" t="s">
        <v>12</v>
      </c>
      <c r="E424" t="s">
        <v>25</v>
      </c>
      <c r="F424">
        <v>447339</v>
      </c>
      <c r="G424" t="s">
        <v>20</v>
      </c>
      <c r="H424" t="s">
        <v>21</v>
      </c>
      <c r="I424">
        <f t="shared" si="12"/>
        <v>40</v>
      </c>
      <c r="J424" s="1">
        <f t="shared" si="13"/>
        <v>10</v>
      </c>
    </row>
    <row r="425" spans="1:10">
      <c r="A425">
        <v>1424</v>
      </c>
      <c r="B425" t="s">
        <v>451</v>
      </c>
      <c r="C425" t="s">
        <v>27</v>
      </c>
      <c r="D425" t="s">
        <v>12</v>
      </c>
      <c r="E425" t="s">
        <v>25</v>
      </c>
      <c r="F425">
        <v>1158319</v>
      </c>
      <c r="G425" t="s">
        <v>14</v>
      </c>
      <c r="H425" t="s">
        <v>21</v>
      </c>
      <c r="I425">
        <f t="shared" si="12"/>
        <v>20</v>
      </c>
      <c r="J425" s="1">
        <f t="shared" si="13"/>
        <v>10</v>
      </c>
    </row>
    <row r="426" spans="1:10">
      <c r="A426">
        <v>1425</v>
      </c>
      <c r="B426" t="s">
        <v>452</v>
      </c>
      <c r="C426" t="s">
        <v>39</v>
      </c>
      <c r="D426" t="s">
        <v>12</v>
      </c>
      <c r="E426" t="s">
        <v>30</v>
      </c>
      <c r="F426">
        <v>1740886</v>
      </c>
      <c r="G426" t="s">
        <v>14</v>
      </c>
      <c r="H426" t="s">
        <v>15</v>
      </c>
      <c r="I426">
        <f t="shared" si="12"/>
        <v>20</v>
      </c>
      <c r="J426" s="1">
        <f t="shared" si="13"/>
        <v>10</v>
      </c>
    </row>
    <row r="427" spans="1:10">
      <c r="A427">
        <v>1426</v>
      </c>
      <c r="B427" t="s">
        <v>453</v>
      </c>
      <c r="C427" t="s">
        <v>23</v>
      </c>
      <c r="D427" t="s">
        <v>24</v>
      </c>
      <c r="E427" t="s">
        <v>25</v>
      </c>
      <c r="F427">
        <v>1918866</v>
      </c>
      <c r="G427" t="s">
        <v>14</v>
      </c>
      <c r="H427" t="s">
        <v>15</v>
      </c>
      <c r="I427">
        <f t="shared" si="12"/>
        <v>20</v>
      </c>
      <c r="J427" s="1">
        <f t="shared" si="13"/>
        <v>20</v>
      </c>
    </row>
    <row r="428" spans="1:10">
      <c r="A428">
        <v>1427</v>
      </c>
      <c r="B428" t="s">
        <v>454</v>
      </c>
      <c r="C428" t="s">
        <v>54</v>
      </c>
      <c r="D428" t="s">
        <v>18</v>
      </c>
      <c r="E428" t="s">
        <v>30</v>
      </c>
      <c r="F428">
        <v>662962</v>
      </c>
      <c r="G428" t="s">
        <v>20</v>
      </c>
      <c r="H428" t="s">
        <v>21</v>
      </c>
      <c r="I428">
        <f t="shared" si="12"/>
        <v>40</v>
      </c>
      <c r="J428" s="1">
        <f t="shared" si="13"/>
        <v>30</v>
      </c>
    </row>
    <row r="429" spans="1:10">
      <c r="A429">
        <v>1428</v>
      </c>
      <c r="B429" t="s">
        <v>455</v>
      </c>
      <c r="C429" t="s">
        <v>23</v>
      </c>
      <c r="D429" t="s">
        <v>24</v>
      </c>
      <c r="E429" t="s">
        <v>19</v>
      </c>
      <c r="F429">
        <v>958196</v>
      </c>
      <c r="G429" t="s">
        <v>20</v>
      </c>
      <c r="H429" t="s">
        <v>15</v>
      </c>
      <c r="I429">
        <f t="shared" si="12"/>
        <v>40</v>
      </c>
      <c r="J429" s="1">
        <f t="shared" si="13"/>
        <v>20</v>
      </c>
    </row>
    <row r="430" spans="1:10">
      <c r="A430">
        <v>1429</v>
      </c>
      <c r="B430" t="s">
        <v>456</v>
      </c>
      <c r="C430" t="s">
        <v>17</v>
      </c>
      <c r="D430" t="s">
        <v>18</v>
      </c>
      <c r="E430" t="s">
        <v>19</v>
      </c>
      <c r="F430">
        <v>1328440</v>
      </c>
      <c r="G430" t="s">
        <v>20</v>
      </c>
      <c r="H430" t="s">
        <v>15</v>
      </c>
      <c r="I430">
        <f t="shared" si="12"/>
        <v>40</v>
      </c>
      <c r="J430" s="1">
        <f t="shared" si="13"/>
        <v>30</v>
      </c>
    </row>
    <row r="431" spans="1:10">
      <c r="A431">
        <v>1430</v>
      </c>
      <c r="B431" t="s">
        <v>457</v>
      </c>
      <c r="C431" t="s">
        <v>17</v>
      </c>
      <c r="D431" t="s">
        <v>18</v>
      </c>
      <c r="E431" t="s">
        <v>19</v>
      </c>
      <c r="F431">
        <v>959382</v>
      </c>
      <c r="G431" t="s">
        <v>20</v>
      </c>
      <c r="H431" t="s">
        <v>21</v>
      </c>
      <c r="I431">
        <f t="shared" si="12"/>
        <v>40</v>
      </c>
      <c r="J431" s="1">
        <f t="shared" si="13"/>
        <v>30</v>
      </c>
    </row>
    <row r="432" spans="1:10">
      <c r="A432">
        <v>1431</v>
      </c>
      <c r="B432" t="s">
        <v>458</v>
      </c>
      <c r="C432" t="s">
        <v>27</v>
      </c>
      <c r="D432" t="s">
        <v>12</v>
      </c>
      <c r="E432" t="s">
        <v>25</v>
      </c>
      <c r="F432">
        <v>1546459</v>
      </c>
      <c r="G432" t="s">
        <v>14</v>
      </c>
      <c r="H432" t="s">
        <v>21</v>
      </c>
      <c r="I432">
        <f t="shared" si="12"/>
        <v>20</v>
      </c>
      <c r="J432" s="1">
        <f t="shared" si="13"/>
        <v>10</v>
      </c>
    </row>
    <row r="433" spans="1:10">
      <c r="A433">
        <v>1432</v>
      </c>
      <c r="B433" t="s">
        <v>459</v>
      </c>
      <c r="C433" t="s">
        <v>27</v>
      </c>
      <c r="D433" t="s">
        <v>12</v>
      </c>
      <c r="E433" t="s">
        <v>34</v>
      </c>
      <c r="F433">
        <v>538525</v>
      </c>
      <c r="G433" t="s">
        <v>14</v>
      </c>
      <c r="H433" t="s">
        <v>21</v>
      </c>
      <c r="I433">
        <f t="shared" si="12"/>
        <v>10</v>
      </c>
      <c r="J433" s="1">
        <f t="shared" si="13"/>
        <v>10</v>
      </c>
    </row>
    <row r="434" spans="1:10">
      <c r="A434">
        <v>1433</v>
      </c>
      <c r="B434" t="s">
        <v>460</v>
      </c>
      <c r="C434" t="s">
        <v>39</v>
      </c>
      <c r="D434" t="s">
        <v>12</v>
      </c>
      <c r="E434" t="s">
        <v>19</v>
      </c>
      <c r="F434">
        <v>1817180</v>
      </c>
      <c r="G434" t="s">
        <v>20</v>
      </c>
      <c r="H434" t="s">
        <v>15</v>
      </c>
      <c r="I434">
        <f t="shared" si="12"/>
        <v>40</v>
      </c>
      <c r="J434" s="1">
        <f t="shared" si="13"/>
        <v>10</v>
      </c>
    </row>
    <row r="435" spans="1:10">
      <c r="A435">
        <v>1434</v>
      </c>
      <c r="B435" t="s">
        <v>461</v>
      </c>
      <c r="C435" t="s">
        <v>54</v>
      </c>
      <c r="D435" t="s">
        <v>18</v>
      </c>
      <c r="E435" t="s">
        <v>30</v>
      </c>
      <c r="F435">
        <v>1964270</v>
      </c>
      <c r="G435" t="s">
        <v>14</v>
      </c>
      <c r="H435" t="s">
        <v>15</v>
      </c>
      <c r="I435">
        <f t="shared" si="12"/>
        <v>20</v>
      </c>
      <c r="J435" s="1">
        <f t="shared" si="13"/>
        <v>30</v>
      </c>
    </row>
    <row r="436" spans="1:10">
      <c r="A436">
        <v>1435</v>
      </c>
      <c r="B436" t="s">
        <v>462</v>
      </c>
      <c r="C436" t="s">
        <v>54</v>
      </c>
      <c r="D436" t="s">
        <v>18</v>
      </c>
      <c r="E436" t="s">
        <v>34</v>
      </c>
      <c r="F436">
        <v>662715</v>
      </c>
      <c r="G436" t="s">
        <v>20</v>
      </c>
      <c r="H436" t="s">
        <v>21</v>
      </c>
      <c r="I436">
        <f t="shared" si="12"/>
        <v>40</v>
      </c>
      <c r="J436" s="1">
        <f t="shared" si="13"/>
        <v>30</v>
      </c>
    </row>
    <row r="437" spans="1:10">
      <c r="A437">
        <v>1436</v>
      </c>
      <c r="B437" t="s">
        <v>463</v>
      </c>
      <c r="C437" t="s">
        <v>27</v>
      </c>
      <c r="D437" t="s">
        <v>12</v>
      </c>
      <c r="E437" t="s">
        <v>13</v>
      </c>
      <c r="F437">
        <v>421691</v>
      </c>
      <c r="G437" t="s">
        <v>14</v>
      </c>
      <c r="H437" t="s">
        <v>21</v>
      </c>
      <c r="I437">
        <f t="shared" si="12"/>
        <v>10</v>
      </c>
      <c r="J437" s="1">
        <f t="shared" si="13"/>
        <v>10</v>
      </c>
    </row>
    <row r="438" spans="1:10">
      <c r="A438">
        <v>1437</v>
      </c>
      <c r="B438" t="s">
        <v>464</v>
      </c>
      <c r="C438" t="s">
        <v>39</v>
      </c>
      <c r="D438" t="s">
        <v>12</v>
      </c>
      <c r="E438" t="s">
        <v>34</v>
      </c>
      <c r="F438">
        <v>1430151</v>
      </c>
      <c r="G438" t="s">
        <v>20</v>
      </c>
      <c r="H438" t="s">
        <v>21</v>
      </c>
      <c r="I438">
        <f t="shared" si="12"/>
        <v>40</v>
      </c>
      <c r="J438" s="1">
        <f t="shared" si="13"/>
        <v>10</v>
      </c>
    </row>
    <row r="439" spans="1:10">
      <c r="A439">
        <v>1438</v>
      </c>
      <c r="B439" t="s">
        <v>465</v>
      </c>
      <c r="C439" t="s">
        <v>27</v>
      </c>
      <c r="D439" t="s">
        <v>12</v>
      </c>
      <c r="E439" t="s">
        <v>30</v>
      </c>
      <c r="F439">
        <v>1195126</v>
      </c>
      <c r="G439" t="s">
        <v>14</v>
      </c>
      <c r="H439" t="s">
        <v>21</v>
      </c>
      <c r="I439">
        <f t="shared" si="12"/>
        <v>20</v>
      </c>
      <c r="J439" s="1">
        <f t="shared" si="13"/>
        <v>10</v>
      </c>
    </row>
    <row r="440" spans="1:10">
      <c r="A440">
        <v>1439</v>
      </c>
      <c r="B440" t="s">
        <v>466</v>
      </c>
      <c r="C440" t="s">
        <v>39</v>
      </c>
      <c r="D440" t="s">
        <v>12</v>
      </c>
      <c r="E440" t="s">
        <v>13</v>
      </c>
      <c r="F440">
        <v>1562657</v>
      </c>
      <c r="G440" t="s">
        <v>14</v>
      </c>
      <c r="H440" t="s">
        <v>15</v>
      </c>
      <c r="I440">
        <f t="shared" si="12"/>
        <v>20</v>
      </c>
      <c r="J440" s="1">
        <f t="shared" si="13"/>
        <v>10</v>
      </c>
    </row>
    <row r="441" spans="1:10">
      <c r="A441">
        <v>1440</v>
      </c>
      <c r="B441" t="s">
        <v>467</v>
      </c>
      <c r="C441" t="s">
        <v>54</v>
      </c>
      <c r="D441" t="s">
        <v>18</v>
      </c>
      <c r="E441" t="s">
        <v>30</v>
      </c>
      <c r="F441">
        <v>1005442</v>
      </c>
      <c r="G441" t="s">
        <v>14</v>
      </c>
      <c r="H441" t="s">
        <v>21</v>
      </c>
      <c r="I441">
        <f t="shared" si="12"/>
        <v>20</v>
      </c>
      <c r="J441" s="1">
        <f t="shared" si="13"/>
        <v>30</v>
      </c>
    </row>
    <row r="442" spans="1:10">
      <c r="A442">
        <v>1441</v>
      </c>
      <c r="B442" t="s">
        <v>468</v>
      </c>
      <c r="C442" t="s">
        <v>54</v>
      </c>
      <c r="D442" t="s">
        <v>18</v>
      </c>
      <c r="E442" t="s">
        <v>13</v>
      </c>
      <c r="F442">
        <v>1049861</v>
      </c>
      <c r="G442" t="s">
        <v>20</v>
      </c>
      <c r="H442" t="s">
        <v>15</v>
      </c>
      <c r="I442">
        <f t="shared" si="12"/>
        <v>40</v>
      </c>
      <c r="J442" s="1">
        <f t="shared" si="13"/>
        <v>30</v>
      </c>
    </row>
    <row r="443" spans="1:10">
      <c r="A443">
        <v>1442</v>
      </c>
      <c r="B443" t="s">
        <v>469</v>
      </c>
      <c r="C443" t="s">
        <v>23</v>
      </c>
      <c r="D443" t="s">
        <v>24</v>
      </c>
      <c r="E443" t="s">
        <v>19</v>
      </c>
      <c r="F443">
        <v>1692077</v>
      </c>
      <c r="G443" t="s">
        <v>14</v>
      </c>
      <c r="H443" t="s">
        <v>15</v>
      </c>
      <c r="I443">
        <f t="shared" si="12"/>
        <v>20</v>
      </c>
      <c r="J443" s="1">
        <f t="shared" si="13"/>
        <v>20</v>
      </c>
    </row>
    <row r="444" spans="1:10">
      <c r="A444">
        <v>1443</v>
      </c>
      <c r="B444" t="s">
        <v>470</v>
      </c>
      <c r="C444" t="s">
        <v>23</v>
      </c>
      <c r="D444" t="s">
        <v>24</v>
      </c>
      <c r="E444" t="s">
        <v>19</v>
      </c>
      <c r="F444">
        <v>1903644</v>
      </c>
      <c r="G444" t="s">
        <v>20</v>
      </c>
      <c r="H444" t="s">
        <v>15</v>
      </c>
      <c r="I444">
        <f t="shared" si="12"/>
        <v>40</v>
      </c>
      <c r="J444" s="1">
        <f t="shared" si="13"/>
        <v>20</v>
      </c>
    </row>
    <row r="445" spans="1:10">
      <c r="A445">
        <v>1444</v>
      </c>
      <c r="B445" t="s">
        <v>471</v>
      </c>
      <c r="C445" t="s">
        <v>27</v>
      </c>
      <c r="D445" t="s">
        <v>12</v>
      </c>
      <c r="E445" t="s">
        <v>19</v>
      </c>
      <c r="F445">
        <v>1489107</v>
      </c>
      <c r="G445" t="s">
        <v>14</v>
      </c>
      <c r="H445" t="s">
        <v>21</v>
      </c>
      <c r="I445">
        <f t="shared" si="12"/>
        <v>20</v>
      </c>
      <c r="J445" s="1">
        <f t="shared" si="13"/>
        <v>10</v>
      </c>
    </row>
    <row r="446" spans="1:10">
      <c r="A446">
        <v>1445</v>
      </c>
      <c r="B446" t="s">
        <v>472</v>
      </c>
      <c r="C446" t="s">
        <v>17</v>
      </c>
      <c r="D446" t="s">
        <v>18</v>
      </c>
      <c r="E446" t="s">
        <v>25</v>
      </c>
      <c r="F446">
        <v>1541195</v>
      </c>
      <c r="G446" t="s">
        <v>14</v>
      </c>
      <c r="H446" t="s">
        <v>15</v>
      </c>
      <c r="I446">
        <f t="shared" si="12"/>
        <v>20</v>
      </c>
      <c r="J446" s="1">
        <f t="shared" si="13"/>
        <v>30</v>
      </c>
    </row>
    <row r="447" spans="1:10">
      <c r="A447">
        <v>1446</v>
      </c>
      <c r="B447" t="s">
        <v>473</v>
      </c>
      <c r="C447" t="s">
        <v>17</v>
      </c>
      <c r="D447" t="s">
        <v>18</v>
      </c>
      <c r="E447" t="s">
        <v>13</v>
      </c>
      <c r="F447">
        <v>1671586</v>
      </c>
      <c r="G447" t="s">
        <v>14</v>
      </c>
      <c r="H447" t="s">
        <v>15</v>
      </c>
      <c r="I447">
        <f t="shared" si="12"/>
        <v>20</v>
      </c>
      <c r="J447" s="1">
        <f t="shared" si="13"/>
        <v>30</v>
      </c>
    </row>
    <row r="448" spans="1:10">
      <c r="A448">
        <v>1447</v>
      </c>
      <c r="B448" t="s">
        <v>474</v>
      </c>
      <c r="C448" t="s">
        <v>39</v>
      </c>
      <c r="D448" t="s">
        <v>12</v>
      </c>
      <c r="E448" t="s">
        <v>19</v>
      </c>
      <c r="F448">
        <v>915308</v>
      </c>
      <c r="G448" t="s">
        <v>14</v>
      </c>
      <c r="H448" t="s">
        <v>15</v>
      </c>
      <c r="I448">
        <f t="shared" si="12"/>
        <v>10</v>
      </c>
      <c r="J448" s="1">
        <f t="shared" si="13"/>
        <v>10</v>
      </c>
    </row>
    <row r="449" spans="1:10">
      <c r="A449">
        <v>1448</v>
      </c>
      <c r="B449" t="s">
        <v>475</v>
      </c>
      <c r="C449" t="s">
        <v>54</v>
      </c>
      <c r="D449" t="s">
        <v>18</v>
      </c>
      <c r="E449" t="s">
        <v>30</v>
      </c>
      <c r="F449">
        <v>1585969</v>
      </c>
      <c r="G449" t="s">
        <v>20</v>
      </c>
      <c r="H449" t="s">
        <v>21</v>
      </c>
      <c r="I449">
        <f t="shared" si="12"/>
        <v>40</v>
      </c>
      <c r="J449" s="1">
        <f t="shared" si="13"/>
        <v>30</v>
      </c>
    </row>
    <row r="450" spans="1:10">
      <c r="A450">
        <v>1449</v>
      </c>
      <c r="B450" t="s">
        <v>476</v>
      </c>
      <c r="C450" t="s">
        <v>39</v>
      </c>
      <c r="D450" t="s">
        <v>12</v>
      </c>
      <c r="E450" t="s">
        <v>30</v>
      </c>
      <c r="F450">
        <v>1939316</v>
      </c>
      <c r="G450" t="s">
        <v>20</v>
      </c>
      <c r="H450" t="s">
        <v>15</v>
      </c>
      <c r="I450">
        <f t="shared" si="12"/>
        <v>40</v>
      </c>
      <c r="J450" s="1">
        <f t="shared" si="13"/>
        <v>10</v>
      </c>
    </row>
    <row r="451" spans="1:10">
      <c r="A451">
        <v>1450</v>
      </c>
      <c r="B451" t="s">
        <v>477</v>
      </c>
      <c r="C451" t="s">
        <v>39</v>
      </c>
      <c r="D451" t="s">
        <v>12</v>
      </c>
      <c r="E451" t="s">
        <v>13</v>
      </c>
      <c r="F451">
        <v>1201558</v>
      </c>
      <c r="G451" t="s">
        <v>14</v>
      </c>
      <c r="H451" t="s">
        <v>21</v>
      </c>
      <c r="I451">
        <f t="shared" ref="I451:I514" si="14">IF(TRIM(LOWER(G451))="yes",40,IF(VALUE(F451)&gt;1000000,20,10))</f>
        <v>20</v>
      </c>
      <c r="J451" s="1">
        <f t="shared" ref="J451:J514" si="15">IF(OR(C451="UAE",C451="Nigeria"),30,IF(C451="USA",20,10))</f>
        <v>10</v>
      </c>
    </row>
    <row r="452" spans="1:10">
      <c r="A452">
        <v>1451</v>
      </c>
      <c r="B452" t="s">
        <v>478</v>
      </c>
      <c r="C452" t="s">
        <v>54</v>
      </c>
      <c r="D452" t="s">
        <v>18</v>
      </c>
      <c r="E452" t="s">
        <v>30</v>
      </c>
      <c r="F452">
        <v>1326721</v>
      </c>
      <c r="G452" t="s">
        <v>20</v>
      </c>
      <c r="H452" t="s">
        <v>21</v>
      </c>
      <c r="I452">
        <f t="shared" si="14"/>
        <v>40</v>
      </c>
      <c r="J452" s="1">
        <f t="shared" si="15"/>
        <v>30</v>
      </c>
    </row>
    <row r="453" spans="1:10">
      <c r="A453">
        <v>1452</v>
      </c>
      <c r="B453" t="s">
        <v>479</v>
      </c>
      <c r="C453" t="s">
        <v>39</v>
      </c>
      <c r="D453" t="s">
        <v>12</v>
      </c>
      <c r="E453" t="s">
        <v>19</v>
      </c>
      <c r="F453">
        <v>1504661</v>
      </c>
      <c r="G453" t="s">
        <v>20</v>
      </c>
      <c r="H453" t="s">
        <v>15</v>
      </c>
      <c r="I453">
        <f t="shared" si="14"/>
        <v>40</v>
      </c>
      <c r="J453" s="1">
        <f t="shared" si="15"/>
        <v>10</v>
      </c>
    </row>
    <row r="454" spans="1:10">
      <c r="A454">
        <v>1453</v>
      </c>
      <c r="B454" t="s">
        <v>480</v>
      </c>
      <c r="C454" t="s">
        <v>27</v>
      </c>
      <c r="D454" t="s">
        <v>12</v>
      </c>
      <c r="E454" t="s">
        <v>34</v>
      </c>
      <c r="F454">
        <v>597799</v>
      </c>
      <c r="G454" t="s">
        <v>14</v>
      </c>
      <c r="H454" t="s">
        <v>15</v>
      </c>
      <c r="I454">
        <f t="shared" si="14"/>
        <v>10</v>
      </c>
      <c r="J454" s="1">
        <f t="shared" si="15"/>
        <v>10</v>
      </c>
    </row>
    <row r="455" spans="1:10">
      <c r="A455">
        <v>1454</v>
      </c>
      <c r="B455" t="s">
        <v>481</v>
      </c>
      <c r="C455" t="s">
        <v>11</v>
      </c>
      <c r="D455" t="s">
        <v>12</v>
      </c>
      <c r="E455" t="s">
        <v>30</v>
      </c>
      <c r="F455">
        <v>1888570</v>
      </c>
      <c r="G455" t="s">
        <v>20</v>
      </c>
      <c r="H455" t="s">
        <v>15</v>
      </c>
      <c r="I455">
        <f t="shared" si="14"/>
        <v>40</v>
      </c>
      <c r="J455" s="1">
        <f t="shared" si="15"/>
        <v>10</v>
      </c>
    </row>
    <row r="456" spans="1:10">
      <c r="A456">
        <v>1455</v>
      </c>
      <c r="B456" t="s">
        <v>482</v>
      </c>
      <c r="C456" t="s">
        <v>23</v>
      </c>
      <c r="D456" t="s">
        <v>24</v>
      </c>
      <c r="E456" t="s">
        <v>19</v>
      </c>
      <c r="F456">
        <v>424268</v>
      </c>
      <c r="G456" t="s">
        <v>20</v>
      </c>
      <c r="H456" t="s">
        <v>15</v>
      </c>
      <c r="I456">
        <f t="shared" si="14"/>
        <v>40</v>
      </c>
      <c r="J456" s="1">
        <f t="shared" si="15"/>
        <v>20</v>
      </c>
    </row>
    <row r="457" spans="1:10">
      <c r="A457">
        <v>1456</v>
      </c>
      <c r="B457" t="s">
        <v>483</v>
      </c>
      <c r="C457" t="s">
        <v>54</v>
      </c>
      <c r="D457" t="s">
        <v>18</v>
      </c>
      <c r="E457" t="s">
        <v>30</v>
      </c>
      <c r="F457">
        <v>1678264</v>
      </c>
      <c r="G457" t="s">
        <v>14</v>
      </c>
      <c r="H457" t="s">
        <v>21</v>
      </c>
      <c r="I457">
        <f t="shared" si="14"/>
        <v>20</v>
      </c>
      <c r="J457" s="1">
        <f t="shared" si="15"/>
        <v>30</v>
      </c>
    </row>
    <row r="458" spans="1:10">
      <c r="A458">
        <v>1457</v>
      </c>
      <c r="B458" t="s">
        <v>484</v>
      </c>
      <c r="C458" t="s">
        <v>54</v>
      </c>
      <c r="D458" t="s">
        <v>18</v>
      </c>
      <c r="E458" t="s">
        <v>19</v>
      </c>
      <c r="F458">
        <v>722545</v>
      </c>
      <c r="G458" t="s">
        <v>20</v>
      </c>
      <c r="H458" t="s">
        <v>21</v>
      </c>
      <c r="I458">
        <f t="shared" si="14"/>
        <v>40</v>
      </c>
      <c r="J458" s="1">
        <f t="shared" si="15"/>
        <v>30</v>
      </c>
    </row>
    <row r="459" spans="1:10">
      <c r="A459">
        <v>1458</v>
      </c>
      <c r="B459" t="s">
        <v>485</v>
      </c>
      <c r="C459" t="s">
        <v>54</v>
      </c>
      <c r="D459" t="s">
        <v>18</v>
      </c>
      <c r="E459" t="s">
        <v>13</v>
      </c>
      <c r="F459">
        <v>910445</v>
      </c>
      <c r="G459" t="s">
        <v>20</v>
      </c>
      <c r="H459" t="s">
        <v>15</v>
      </c>
      <c r="I459">
        <f t="shared" si="14"/>
        <v>40</v>
      </c>
      <c r="J459" s="1">
        <f t="shared" si="15"/>
        <v>30</v>
      </c>
    </row>
    <row r="460" spans="1:10">
      <c r="A460">
        <v>1459</v>
      </c>
      <c r="B460" t="s">
        <v>486</v>
      </c>
      <c r="C460" t="s">
        <v>23</v>
      </c>
      <c r="D460" t="s">
        <v>24</v>
      </c>
      <c r="E460" t="s">
        <v>19</v>
      </c>
      <c r="F460">
        <v>668750</v>
      </c>
      <c r="G460" t="s">
        <v>14</v>
      </c>
      <c r="H460" t="s">
        <v>21</v>
      </c>
      <c r="I460">
        <f t="shared" si="14"/>
        <v>10</v>
      </c>
      <c r="J460" s="1">
        <f t="shared" si="15"/>
        <v>20</v>
      </c>
    </row>
    <row r="461" spans="1:10">
      <c r="A461">
        <v>1460</v>
      </c>
      <c r="B461" t="s">
        <v>487</v>
      </c>
      <c r="C461" t="s">
        <v>11</v>
      </c>
      <c r="D461" t="s">
        <v>12</v>
      </c>
      <c r="E461" t="s">
        <v>25</v>
      </c>
      <c r="F461">
        <v>1209152</v>
      </c>
      <c r="G461" t="s">
        <v>14</v>
      </c>
      <c r="H461" t="s">
        <v>21</v>
      </c>
      <c r="I461">
        <f t="shared" si="14"/>
        <v>20</v>
      </c>
      <c r="J461" s="1">
        <f t="shared" si="15"/>
        <v>10</v>
      </c>
    </row>
    <row r="462" spans="1:10">
      <c r="A462">
        <v>1461</v>
      </c>
      <c r="B462" t="s">
        <v>488</v>
      </c>
      <c r="C462" t="s">
        <v>17</v>
      </c>
      <c r="D462" t="s">
        <v>18</v>
      </c>
      <c r="E462" t="s">
        <v>30</v>
      </c>
      <c r="F462">
        <v>566955</v>
      </c>
      <c r="G462" t="s">
        <v>14</v>
      </c>
      <c r="H462" t="s">
        <v>15</v>
      </c>
      <c r="I462">
        <f t="shared" si="14"/>
        <v>10</v>
      </c>
      <c r="J462" s="1">
        <f t="shared" si="15"/>
        <v>30</v>
      </c>
    </row>
    <row r="463" spans="1:10">
      <c r="A463">
        <v>1462</v>
      </c>
      <c r="B463" t="s">
        <v>489</v>
      </c>
      <c r="C463" t="s">
        <v>27</v>
      </c>
      <c r="D463" t="s">
        <v>12</v>
      </c>
      <c r="E463" t="s">
        <v>25</v>
      </c>
      <c r="F463">
        <v>1949632</v>
      </c>
      <c r="G463" t="s">
        <v>14</v>
      </c>
      <c r="H463" t="s">
        <v>15</v>
      </c>
      <c r="I463">
        <f t="shared" si="14"/>
        <v>20</v>
      </c>
      <c r="J463" s="1">
        <f t="shared" si="15"/>
        <v>10</v>
      </c>
    </row>
    <row r="464" spans="1:10">
      <c r="A464">
        <v>1463</v>
      </c>
      <c r="B464" t="s">
        <v>490</v>
      </c>
      <c r="C464" t="s">
        <v>39</v>
      </c>
      <c r="D464" t="s">
        <v>12</v>
      </c>
      <c r="E464" t="s">
        <v>13</v>
      </c>
      <c r="F464">
        <v>570538</v>
      </c>
      <c r="G464" t="s">
        <v>20</v>
      </c>
      <c r="H464" t="s">
        <v>15</v>
      </c>
      <c r="I464">
        <f t="shared" si="14"/>
        <v>40</v>
      </c>
      <c r="J464" s="1">
        <f t="shared" si="15"/>
        <v>10</v>
      </c>
    </row>
    <row r="465" spans="1:10">
      <c r="A465">
        <v>1464</v>
      </c>
      <c r="B465" t="s">
        <v>491</v>
      </c>
      <c r="C465" t="s">
        <v>39</v>
      </c>
      <c r="D465" t="s">
        <v>12</v>
      </c>
      <c r="E465" t="s">
        <v>34</v>
      </c>
      <c r="F465">
        <v>850649</v>
      </c>
      <c r="G465" t="s">
        <v>14</v>
      </c>
      <c r="H465" t="s">
        <v>15</v>
      </c>
      <c r="I465">
        <f t="shared" si="14"/>
        <v>10</v>
      </c>
      <c r="J465" s="1">
        <f t="shared" si="15"/>
        <v>10</v>
      </c>
    </row>
    <row r="466" spans="1:10">
      <c r="A466">
        <v>1465</v>
      </c>
      <c r="B466" t="s">
        <v>492</v>
      </c>
      <c r="C466" t="s">
        <v>23</v>
      </c>
      <c r="D466" t="s">
        <v>24</v>
      </c>
      <c r="E466" t="s">
        <v>25</v>
      </c>
      <c r="F466">
        <v>1147099</v>
      </c>
      <c r="G466" t="s">
        <v>14</v>
      </c>
      <c r="H466" t="s">
        <v>15</v>
      </c>
      <c r="I466">
        <f t="shared" si="14"/>
        <v>20</v>
      </c>
      <c r="J466" s="1">
        <f t="shared" si="15"/>
        <v>20</v>
      </c>
    </row>
    <row r="467" spans="1:10">
      <c r="A467">
        <v>1466</v>
      </c>
      <c r="B467" t="s">
        <v>493</v>
      </c>
      <c r="C467" t="s">
        <v>39</v>
      </c>
      <c r="D467" t="s">
        <v>12</v>
      </c>
      <c r="E467" t="s">
        <v>25</v>
      </c>
      <c r="F467">
        <v>1156652</v>
      </c>
      <c r="G467" t="s">
        <v>20</v>
      </c>
      <c r="H467" t="s">
        <v>15</v>
      </c>
      <c r="I467">
        <f t="shared" si="14"/>
        <v>40</v>
      </c>
      <c r="J467" s="1">
        <f t="shared" si="15"/>
        <v>10</v>
      </c>
    </row>
    <row r="468" spans="1:10">
      <c r="A468">
        <v>1467</v>
      </c>
      <c r="B468" t="s">
        <v>494</v>
      </c>
      <c r="C468" t="s">
        <v>17</v>
      </c>
      <c r="D468" t="s">
        <v>18</v>
      </c>
      <c r="E468" t="s">
        <v>19</v>
      </c>
      <c r="F468">
        <v>416182</v>
      </c>
      <c r="G468" t="s">
        <v>14</v>
      </c>
      <c r="H468" t="s">
        <v>21</v>
      </c>
      <c r="I468">
        <f t="shared" si="14"/>
        <v>10</v>
      </c>
      <c r="J468" s="1">
        <f t="shared" si="15"/>
        <v>30</v>
      </c>
    </row>
    <row r="469" spans="1:10">
      <c r="A469">
        <v>1468</v>
      </c>
      <c r="B469" t="s">
        <v>495</v>
      </c>
      <c r="C469" t="s">
        <v>11</v>
      </c>
      <c r="D469" t="s">
        <v>12</v>
      </c>
      <c r="E469" t="s">
        <v>13</v>
      </c>
      <c r="F469">
        <v>1220391</v>
      </c>
      <c r="G469" t="s">
        <v>20</v>
      </c>
      <c r="H469" t="s">
        <v>21</v>
      </c>
      <c r="I469">
        <f t="shared" si="14"/>
        <v>40</v>
      </c>
      <c r="J469" s="1">
        <f t="shared" si="15"/>
        <v>10</v>
      </c>
    </row>
    <row r="470" spans="1:10">
      <c r="A470">
        <v>1469</v>
      </c>
      <c r="B470" t="s">
        <v>496</v>
      </c>
      <c r="C470" t="s">
        <v>11</v>
      </c>
      <c r="D470" t="s">
        <v>12</v>
      </c>
      <c r="E470" t="s">
        <v>13</v>
      </c>
      <c r="F470">
        <v>858428</v>
      </c>
      <c r="G470" t="s">
        <v>20</v>
      </c>
      <c r="H470" t="s">
        <v>15</v>
      </c>
      <c r="I470">
        <f t="shared" si="14"/>
        <v>40</v>
      </c>
      <c r="J470" s="1">
        <f t="shared" si="15"/>
        <v>10</v>
      </c>
    </row>
    <row r="471" spans="1:10">
      <c r="A471">
        <v>1470</v>
      </c>
      <c r="B471" t="s">
        <v>497</v>
      </c>
      <c r="C471" t="s">
        <v>23</v>
      </c>
      <c r="D471" t="s">
        <v>24</v>
      </c>
      <c r="E471" t="s">
        <v>30</v>
      </c>
      <c r="F471">
        <v>1772220</v>
      </c>
      <c r="G471" t="s">
        <v>20</v>
      </c>
      <c r="H471" t="s">
        <v>15</v>
      </c>
      <c r="I471">
        <f t="shared" si="14"/>
        <v>40</v>
      </c>
      <c r="J471" s="1">
        <f t="shared" si="15"/>
        <v>20</v>
      </c>
    </row>
    <row r="472" spans="1:10">
      <c r="A472">
        <v>1471</v>
      </c>
      <c r="B472" t="s">
        <v>498</v>
      </c>
      <c r="C472" t="s">
        <v>23</v>
      </c>
      <c r="D472" t="s">
        <v>24</v>
      </c>
      <c r="E472" t="s">
        <v>30</v>
      </c>
      <c r="F472">
        <v>1500996</v>
      </c>
      <c r="G472" t="s">
        <v>14</v>
      </c>
      <c r="H472" t="s">
        <v>21</v>
      </c>
      <c r="I472">
        <f t="shared" si="14"/>
        <v>20</v>
      </c>
      <c r="J472" s="1">
        <f t="shared" si="15"/>
        <v>20</v>
      </c>
    </row>
    <row r="473" spans="1:10">
      <c r="A473">
        <v>1472</v>
      </c>
      <c r="B473" t="s">
        <v>499</v>
      </c>
      <c r="C473" t="s">
        <v>11</v>
      </c>
      <c r="D473" t="s">
        <v>12</v>
      </c>
      <c r="E473" t="s">
        <v>13</v>
      </c>
      <c r="F473">
        <v>305229</v>
      </c>
      <c r="G473" t="s">
        <v>14</v>
      </c>
      <c r="H473" t="s">
        <v>15</v>
      </c>
      <c r="I473">
        <f t="shared" si="14"/>
        <v>10</v>
      </c>
      <c r="J473" s="1">
        <f t="shared" si="15"/>
        <v>10</v>
      </c>
    </row>
    <row r="474" spans="1:10">
      <c r="A474">
        <v>1473</v>
      </c>
      <c r="B474" t="s">
        <v>500</v>
      </c>
      <c r="C474" t="s">
        <v>39</v>
      </c>
      <c r="D474" t="s">
        <v>12</v>
      </c>
      <c r="E474" t="s">
        <v>34</v>
      </c>
      <c r="F474">
        <v>1160613</v>
      </c>
      <c r="G474" t="s">
        <v>14</v>
      </c>
      <c r="H474" t="s">
        <v>21</v>
      </c>
      <c r="I474">
        <f t="shared" si="14"/>
        <v>20</v>
      </c>
      <c r="J474" s="1">
        <f t="shared" si="15"/>
        <v>10</v>
      </c>
    </row>
    <row r="475" spans="1:10">
      <c r="A475">
        <v>1474</v>
      </c>
      <c r="B475" t="s">
        <v>501</v>
      </c>
      <c r="C475" t="s">
        <v>27</v>
      </c>
      <c r="D475" t="s">
        <v>12</v>
      </c>
      <c r="E475" t="s">
        <v>34</v>
      </c>
      <c r="F475">
        <v>905798</v>
      </c>
      <c r="G475" t="s">
        <v>14</v>
      </c>
      <c r="H475" t="s">
        <v>15</v>
      </c>
      <c r="I475">
        <f t="shared" si="14"/>
        <v>10</v>
      </c>
      <c r="J475" s="1">
        <f t="shared" si="15"/>
        <v>10</v>
      </c>
    </row>
    <row r="476" spans="1:10">
      <c r="A476">
        <v>1475</v>
      </c>
      <c r="B476" t="s">
        <v>502</v>
      </c>
      <c r="C476" t="s">
        <v>39</v>
      </c>
      <c r="D476" t="s">
        <v>12</v>
      </c>
      <c r="E476" t="s">
        <v>19</v>
      </c>
      <c r="F476">
        <v>956697</v>
      </c>
      <c r="G476" t="s">
        <v>14</v>
      </c>
      <c r="H476" t="s">
        <v>21</v>
      </c>
      <c r="I476">
        <f t="shared" si="14"/>
        <v>10</v>
      </c>
      <c r="J476" s="1">
        <f t="shared" si="15"/>
        <v>10</v>
      </c>
    </row>
    <row r="477" spans="1:10">
      <c r="A477">
        <v>1476</v>
      </c>
      <c r="B477" t="s">
        <v>503</v>
      </c>
      <c r="C477" t="s">
        <v>54</v>
      </c>
      <c r="D477" t="s">
        <v>18</v>
      </c>
      <c r="E477" t="s">
        <v>25</v>
      </c>
      <c r="F477">
        <v>1286598</v>
      </c>
      <c r="G477" t="s">
        <v>20</v>
      </c>
      <c r="H477" t="s">
        <v>15</v>
      </c>
      <c r="I477">
        <f t="shared" si="14"/>
        <v>40</v>
      </c>
      <c r="J477" s="1">
        <f t="shared" si="15"/>
        <v>30</v>
      </c>
    </row>
    <row r="478" spans="1:10">
      <c r="A478">
        <v>1477</v>
      </c>
      <c r="B478" t="s">
        <v>504</v>
      </c>
      <c r="C478" t="s">
        <v>11</v>
      </c>
      <c r="D478" t="s">
        <v>12</v>
      </c>
      <c r="E478" t="s">
        <v>30</v>
      </c>
      <c r="F478">
        <v>656128</v>
      </c>
      <c r="G478" t="s">
        <v>20</v>
      </c>
      <c r="H478" t="s">
        <v>21</v>
      </c>
      <c r="I478">
        <f t="shared" si="14"/>
        <v>40</v>
      </c>
      <c r="J478" s="1">
        <f t="shared" si="15"/>
        <v>10</v>
      </c>
    </row>
    <row r="479" spans="1:10">
      <c r="A479">
        <v>1478</v>
      </c>
      <c r="B479" t="s">
        <v>505</v>
      </c>
      <c r="C479" t="s">
        <v>54</v>
      </c>
      <c r="D479" t="s">
        <v>18</v>
      </c>
      <c r="E479" t="s">
        <v>30</v>
      </c>
      <c r="F479">
        <v>1498223</v>
      </c>
      <c r="G479" t="s">
        <v>14</v>
      </c>
      <c r="H479" t="s">
        <v>21</v>
      </c>
      <c r="I479">
        <f t="shared" si="14"/>
        <v>20</v>
      </c>
      <c r="J479" s="1">
        <f t="shared" si="15"/>
        <v>30</v>
      </c>
    </row>
    <row r="480" spans="1:10">
      <c r="A480">
        <v>1479</v>
      </c>
      <c r="B480" t="s">
        <v>506</v>
      </c>
      <c r="C480" t="s">
        <v>11</v>
      </c>
      <c r="D480" t="s">
        <v>12</v>
      </c>
      <c r="E480" t="s">
        <v>13</v>
      </c>
      <c r="F480">
        <v>1655032</v>
      </c>
      <c r="G480" t="s">
        <v>14</v>
      </c>
      <c r="H480" t="s">
        <v>15</v>
      </c>
      <c r="I480">
        <f t="shared" si="14"/>
        <v>20</v>
      </c>
      <c r="J480" s="1">
        <f t="shared" si="15"/>
        <v>10</v>
      </c>
    </row>
    <row r="481" spans="1:10">
      <c r="A481">
        <v>1480</v>
      </c>
      <c r="B481" t="s">
        <v>507</v>
      </c>
      <c r="C481" t="s">
        <v>17</v>
      </c>
      <c r="D481" t="s">
        <v>18</v>
      </c>
      <c r="E481" t="s">
        <v>30</v>
      </c>
      <c r="F481">
        <v>1790524</v>
      </c>
      <c r="G481" t="s">
        <v>14</v>
      </c>
      <c r="H481" t="s">
        <v>15</v>
      </c>
      <c r="I481">
        <f t="shared" si="14"/>
        <v>20</v>
      </c>
      <c r="J481" s="1">
        <f t="shared" si="15"/>
        <v>30</v>
      </c>
    </row>
    <row r="482" spans="1:10">
      <c r="A482">
        <v>1481</v>
      </c>
      <c r="B482" t="s">
        <v>508</v>
      </c>
      <c r="C482" t="s">
        <v>39</v>
      </c>
      <c r="D482" t="s">
        <v>12</v>
      </c>
      <c r="E482" t="s">
        <v>30</v>
      </c>
      <c r="F482">
        <v>1811513</v>
      </c>
      <c r="G482" t="s">
        <v>14</v>
      </c>
      <c r="H482" t="s">
        <v>15</v>
      </c>
      <c r="I482">
        <f t="shared" si="14"/>
        <v>20</v>
      </c>
      <c r="J482" s="1">
        <f t="shared" si="15"/>
        <v>10</v>
      </c>
    </row>
    <row r="483" spans="1:10">
      <c r="A483">
        <v>1482</v>
      </c>
      <c r="B483" t="s">
        <v>509</v>
      </c>
      <c r="C483" t="s">
        <v>17</v>
      </c>
      <c r="D483" t="s">
        <v>18</v>
      </c>
      <c r="E483" t="s">
        <v>34</v>
      </c>
      <c r="F483">
        <v>1073195</v>
      </c>
      <c r="G483" t="s">
        <v>20</v>
      </c>
      <c r="H483" t="s">
        <v>15</v>
      </c>
      <c r="I483">
        <f t="shared" si="14"/>
        <v>40</v>
      </c>
      <c r="J483" s="1">
        <f t="shared" si="15"/>
        <v>30</v>
      </c>
    </row>
    <row r="484" spans="1:10">
      <c r="A484">
        <v>1483</v>
      </c>
      <c r="B484" t="s">
        <v>510</v>
      </c>
      <c r="C484" t="s">
        <v>23</v>
      </c>
      <c r="D484" t="s">
        <v>24</v>
      </c>
      <c r="E484" t="s">
        <v>34</v>
      </c>
      <c r="F484">
        <v>739099</v>
      </c>
      <c r="G484" t="s">
        <v>20</v>
      </c>
      <c r="H484" t="s">
        <v>15</v>
      </c>
      <c r="I484">
        <f t="shared" si="14"/>
        <v>40</v>
      </c>
      <c r="J484" s="1">
        <f t="shared" si="15"/>
        <v>20</v>
      </c>
    </row>
    <row r="485" spans="1:10">
      <c r="A485">
        <v>1484</v>
      </c>
      <c r="B485" t="s">
        <v>511</v>
      </c>
      <c r="C485" t="s">
        <v>54</v>
      </c>
      <c r="D485" t="s">
        <v>18</v>
      </c>
      <c r="E485" t="s">
        <v>30</v>
      </c>
      <c r="F485">
        <v>1701958</v>
      </c>
      <c r="G485" t="s">
        <v>20</v>
      </c>
      <c r="H485" t="s">
        <v>21</v>
      </c>
      <c r="I485">
        <f t="shared" si="14"/>
        <v>40</v>
      </c>
      <c r="J485" s="1">
        <f t="shared" si="15"/>
        <v>30</v>
      </c>
    </row>
    <row r="486" spans="1:10">
      <c r="A486">
        <v>1485</v>
      </c>
      <c r="B486" t="s">
        <v>512</v>
      </c>
      <c r="C486" t="s">
        <v>23</v>
      </c>
      <c r="D486" t="s">
        <v>24</v>
      </c>
      <c r="E486" t="s">
        <v>30</v>
      </c>
      <c r="F486">
        <v>1786729</v>
      </c>
      <c r="G486" t="s">
        <v>20</v>
      </c>
      <c r="H486" t="s">
        <v>21</v>
      </c>
      <c r="I486">
        <f t="shared" si="14"/>
        <v>40</v>
      </c>
      <c r="J486" s="1">
        <f t="shared" si="15"/>
        <v>20</v>
      </c>
    </row>
    <row r="487" spans="1:10">
      <c r="A487">
        <v>1486</v>
      </c>
      <c r="B487" t="s">
        <v>513</v>
      </c>
      <c r="C487" t="s">
        <v>17</v>
      </c>
      <c r="D487" t="s">
        <v>18</v>
      </c>
      <c r="E487" t="s">
        <v>34</v>
      </c>
      <c r="F487">
        <v>1170810</v>
      </c>
      <c r="G487" t="s">
        <v>20</v>
      </c>
      <c r="H487" t="s">
        <v>15</v>
      </c>
      <c r="I487">
        <f t="shared" si="14"/>
        <v>40</v>
      </c>
      <c r="J487" s="1">
        <f t="shared" si="15"/>
        <v>30</v>
      </c>
    </row>
    <row r="488" spans="1:10">
      <c r="A488">
        <v>1487</v>
      </c>
      <c r="B488" t="s">
        <v>514</v>
      </c>
      <c r="C488" t="s">
        <v>11</v>
      </c>
      <c r="D488" t="s">
        <v>12</v>
      </c>
      <c r="E488" t="s">
        <v>19</v>
      </c>
      <c r="F488">
        <v>1123032</v>
      </c>
      <c r="G488" t="s">
        <v>14</v>
      </c>
      <c r="H488" t="s">
        <v>21</v>
      </c>
      <c r="I488">
        <f t="shared" si="14"/>
        <v>20</v>
      </c>
      <c r="J488" s="1">
        <f t="shared" si="15"/>
        <v>10</v>
      </c>
    </row>
    <row r="489" spans="1:10">
      <c r="A489">
        <v>1488</v>
      </c>
      <c r="B489" t="s">
        <v>515</v>
      </c>
      <c r="C489" t="s">
        <v>27</v>
      </c>
      <c r="D489" t="s">
        <v>12</v>
      </c>
      <c r="E489" t="s">
        <v>25</v>
      </c>
      <c r="F489">
        <v>1528840</v>
      </c>
      <c r="G489" t="s">
        <v>14</v>
      </c>
      <c r="H489" t="s">
        <v>21</v>
      </c>
      <c r="I489">
        <f t="shared" si="14"/>
        <v>20</v>
      </c>
      <c r="J489" s="1">
        <f t="shared" si="15"/>
        <v>10</v>
      </c>
    </row>
    <row r="490" spans="1:10">
      <c r="A490">
        <v>1489</v>
      </c>
      <c r="B490" t="s">
        <v>516</v>
      </c>
      <c r="C490" t="s">
        <v>54</v>
      </c>
      <c r="D490" t="s">
        <v>18</v>
      </c>
      <c r="E490" t="s">
        <v>25</v>
      </c>
      <c r="F490">
        <v>1784162</v>
      </c>
      <c r="G490" t="s">
        <v>14</v>
      </c>
      <c r="H490" t="s">
        <v>15</v>
      </c>
      <c r="I490">
        <f t="shared" si="14"/>
        <v>20</v>
      </c>
      <c r="J490" s="1">
        <f t="shared" si="15"/>
        <v>30</v>
      </c>
    </row>
    <row r="491" spans="1:10">
      <c r="A491">
        <v>1490</v>
      </c>
      <c r="B491" t="s">
        <v>517</v>
      </c>
      <c r="C491" t="s">
        <v>17</v>
      </c>
      <c r="D491" t="s">
        <v>18</v>
      </c>
      <c r="E491" t="s">
        <v>13</v>
      </c>
      <c r="F491">
        <v>1530140</v>
      </c>
      <c r="G491" t="s">
        <v>20</v>
      </c>
      <c r="H491" t="s">
        <v>15</v>
      </c>
      <c r="I491">
        <f t="shared" si="14"/>
        <v>40</v>
      </c>
      <c r="J491" s="1">
        <f t="shared" si="15"/>
        <v>30</v>
      </c>
    </row>
    <row r="492" spans="1:10">
      <c r="A492">
        <v>1491</v>
      </c>
      <c r="B492" t="s">
        <v>518</v>
      </c>
      <c r="C492" t="s">
        <v>54</v>
      </c>
      <c r="D492" t="s">
        <v>18</v>
      </c>
      <c r="E492" t="s">
        <v>19</v>
      </c>
      <c r="F492">
        <v>1172561</v>
      </c>
      <c r="G492" t="s">
        <v>14</v>
      </c>
      <c r="H492" t="s">
        <v>15</v>
      </c>
      <c r="I492">
        <f t="shared" si="14"/>
        <v>20</v>
      </c>
      <c r="J492" s="1">
        <f t="shared" si="15"/>
        <v>30</v>
      </c>
    </row>
    <row r="493" spans="1:10">
      <c r="A493">
        <v>1492</v>
      </c>
      <c r="B493" t="s">
        <v>519</v>
      </c>
      <c r="C493" t="s">
        <v>17</v>
      </c>
      <c r="D493" t="s">
        <v>18</v>
      </c>
      <c r="E493" t="s">
        <v>13</v>
      </c>
      <c r="F493">
        <v>1274839</v>
      </c>
      <c r="G493" t="s">
        <v>20</v>
      </c>
      <c r="H493" t="s">
        <v>15</v>
      </c>
      <c r="I493">
        <f t="shared" si="14"/>
        <v>40</v>
      </c>
      <c r="J493" s="1">
        <f t="shared" si="15"/>
        <v>30</v>
      </c>
    </row>
    <row r="494" spans="1:10">
      <c r="A494">
        <v>1493</v>
      </c>
      <c r="B494" t="s">
        <v>520</v>
      </c>
      <c r="C494" t="s">
        <v>39</v>
      </c>
      <c r="D494" t="s">
        <v>12</v>
      </c>
      <c r="E494" t="s">
        <v>34</v>
      </c>
      <c r="F494">
        <v>591630</v>
      </c>
      <c r="G494" t="s">
        <v>14</v>
      </c>
      <c r="H494" t="s">
        <v>21</v>
      </c>
      <c r="I494">
        <f t="shared" si="14"/>
        <v>10</v>
      </c>
      <c r="J494" s="1">
        <f t="shared" si="15"/>
        <v>10</v>
      </c>
    </row>
    <row r="495" spans="1:10">
      <c r="A495">
        <v>1494</v>
      </c>
      <c r="B495" t="s">
        <v>521</v>
      </c>
      <c r="C495" t="s">
        <v>23</v>
      </c>
      <c r="D495" t="s">
        <v>24</v>
      </c>
      <c r="E495" t="s">
        <v>19</v>
      </c>
      <c r="F495">
        <v>1198764</v>
      </c>
      <c r="G495" t="s">
        <v>20</v>
      </c>
      <c r="H495" t="s">
        <v>21</v>
      </c>
      <c r="I495">
        <f t="shared" si="14"/>
        <v>40</v>
      </c>
      <c r="J495" s="1">
        <f t="shared" si="15"/>
        <v>20</v>
      </c>
    </row>
    <row r="496" spans="1:10">
      <c r="A496">
        <v>1495</v>
      </c>
      <c r="B496" t="s">
        <v>522</v>
      </c>
      <c r="C496" t="s">
        <v>11</v>
      </c>
      <c r="D496" t="s">
        <v>12</v>
      </c>
      <c r="E496" t="s">
        <v>25</v>
      </c>
      <c r="F496">
        <v>702189</v>
      </c>
      <c r="G496" t="s">
        <v>14</v>
      </c>
      <c r="H496" t="s">
        <v>15</v>
      </c>
      <c r="I496">
        <f t="shared" si="14"/>
        <v>10</v>
      </c>
      <c r="J496" s="1">
        <f t="shared" si="15"/>
        <v>10</v>
      </c>
    </row>
    <row r="497" spans="1:10">
      <c r="A497">
        <v>1496</v>
      </c>
      <c r="B497" t="s">
        <v>523</v>
      </c>
      <c r="C497" t="s">
        <v>39</v>
      </c>
      <c r="D497" t="s">
        <v>12</v>
      </c>
      <c r="E497" t="s">
        <v>19</v>
      </c>
      <c r="F497">
        <v>1990497</v>
      </c>
      <c r="G497" t="s">
        <v>20</v>
      </c>
      <c r="H497" t="s">
        <v>21</v>
      </c>
      <c r="I497">
        <f t="shared" si="14"/>
        <v>40</v>
      </c>
      <c r="J497" s="1">
        <f t="shared" si="15"/>
        <v>10</v>
      </c>
    </row>
    <row r="498" spans="1:10">
      <c r="A498">
        <v>1497</v>
      </c>
      <c r="B498" t="s">
        <v>524</v>
      </c>
      <c r="C498" t="s">
        <v>54</v>
      </c>
      <c r="D498" t="s">
        <v>18</v>
      </c>
      <c r="E498" t="s">
        <v>13</v>
      </c>
      <c r="F498">
        <v>1195165</v>
      </c>
      <c r="G498" t="s">
        <v>14</v>
      </c>
      <c r="H498" t="s">
        <v>21</v>
      </c>
      <c r="I498">
        <f t="shared" si="14"/>
        <v>20</v>
      </c>
      <c r="J498" s="1">
        <f t="shared" si="15"/>
        <v>30</v>
      </c>
    </row>
    <row r="499" spans="1:10">
      <c r="A499">
        <v>1498</v>
      </c>
      <c r="B499" t="s">
        <v>525</v>
      </c>
      <c r="C499" t="s">
        <v>27</v>
      </c>
      <c r="D499" t="s">
        <v>12</v>
      </c>
      <c r="E499" t="s">
        <v>30</v>
      </c>
      <c r="F499">
        <v>1231919</v>
      </c>
      <c r="G499" t="s">
        <v>14</v>
      </c>
      <c r="H499" t="s">
        <v>21</v>
      </c>
      <c r="I499">
        <f t="shared" si="14"/>
        <v>20</v>
      </c>
      <c r="J499" s="1">
        <f t="shared" si="15"/>
        <v>10</v>
      </c>
    </row>
    <row r="500" spans="1:10">
      <c r="A500">
        <v>1499</v>
      </c>
      <c r="B500" t="s">
        <v>526</v>
      </c>
      <c r="C500" t="s">
        <v>54</v>
      </c>
      <c r="D500" t="s">
        <v>18</v>
      </c>
      <c r="E500" t="s">
        <v>19</v>
      </c>
      <c r="F500">
        <v>1438106</v>
      </c>
      <c r="G500" t="s">
        <v>14</v>
      </c>
      <c r="H500" t="s">
        <v>21</v>
      </c>
      <c r="I500">
        <f t="shared" si="14"/>
        <v>20</v>
      </c>
      <c r="J500" s="1">
        <f t="shared" si="15"/>
        <v>30</v>
      </c>
    </row>
    <row r="501" spans="1:10">
      <c r="A501">
        <v>1500</v>
      </c>
      <c r="B501" t="s">
        <v>527</v>
      </c>
      <c r="C501" t="s">
        <v>23</v>
      </c>
      <c r="D501" t="s">
        <v>24</v>
      </c>
      <c r="E501" t="s">
        <v>25</v>
      </c>
      <c r="F501">
        <v>628933</v>
      </c>
      <c r="G501" t="s">
        <v>14</v>
      </c>
      <c r="H501" t="s">
        <v>15</v>
      </c>
      <c r="I501">
        <f t="shared" si="14"/>
        <v>10</v>
      </c>
      <c r="J501" s="1">
        <f t="shared" si="15"/>
        <v>20</v>
      </c>
    </row>
    <row r="502" spans="1:10">
      <c r="A502">
        <v>1501</v>
      </c>
      <c r="B502" t="s">
        <v>528</v>
      </c>
      <c r="C502" t="s">
        <v>39</v>
      </c>
      <c r="D502" t="s">
        <v>12</v>
      </c>
      <c r="E502" t="s">
        <v>19</v>
      </c>
      <c r="F502">
        <v>1937046</v>
      </c>
      <c r="G502" t="s">
        <v>20</v>
      </c>
      <c r="H502" t="s">
        <v>21</v>
      </c>
      <c r="I502">
        <f t="shared" si="14"/>
        <v>40</v>
      </c>
      <c r="J502" s="1">
        <f t="shared" si="15"/>
        <v>10</v>
      </c>
    </row>
    <row r="503" spans="1:10">
      <c r="A503">
        <v>1502</v>
      </c>
      <c r="B503" t="s">
        <v>529</v>
      </c>
      <c r="C503" t="s">
        <v>23</v>
      </c>
      <c r="D503" t="s">
        <v>24</v>
      </c>
      <c r="E503" t="s">
        <v>34</v>
      </c>
      <c r="F503">
        <v>1379503</v>
      </c>
      <c r="G503" t="s">
        <v>20</v>
      </c>
      <c r="H503" t="s">
        <v>21</v>
      </c>
      <c r="I503">
        <f t="shared" si="14"/>
        <v>40</v>
      </c>
      <c r="J503" s="1">
        <f t="shared" si="15"/>
        <v>20</v>
      </c>
    </row>
    <row r="504" spans="1:10">
      <c r="A504">
        <v>1503</v>
      </c>
      <c r="B504" t="s">
        <v>530</v>
      </c>
      <c r="C504" t="s">
        <v>27</v>
      </c>
      <c r="D504" t="s">
        <v>12</v>
      </c>
      <c r="E504" t="s">
        <v>25</v>
      </c>
      <c r="F504">
        <v>1281945</v>
      </c>
      <c r="G504" t="s">
        <v>14</v>
      </c>
      <c r="H504" t="s">
        <v>15</v>
      </c>
      <c r="I504">
        <f t="shared" si="14"/>
        <v>20</v>
      </c>
      <c r="J504" s="1">
        <f t="shared" si="15"/>
        <v>10</v>
      </c>
    </row>
    <row r="505" spans="1:10">
      <c r="A505">
        <v>1504</v>
      </c>
      <c r="B505" t="s">
        <v>531</v>
      </c>
      <c r="C505" t="s">
        <v>54</v>
      </c>
      <c r="D505" t="s">
        <v>18</v>
      </c>
      <c r="E505" t="s">
        <v>25</v>
      </c>
      <c r="F505">
        <v>774679</v>
      </c>
      <c r="G505" t="s">
        <v>14</v>
      </c>
      <c r="H505" t="s">
        <v>21</v>
      </c>
      <c r="I505">
        <f t="shared" si="14"/>
        <v>10</v>
      </c>
      <c r="J505" s="1">
        <f t="shared" si="15"/>
        <v>30</v>
      </c>
    </row>
    <row r="506" spans="1:10">
      <c r="A506">
        <v>1505</v>
      </c>
      <c r="B506" t="s">
        <v>532</v>
      </c>
      <c r="C506" t="s">
        <v>54</v>
      </c>
      <c r="D506" t="s">
        <v>18</v>
      </c>
      <c r="E506" t="s">
        <v>13</v>
      </c>
      <c r="F506">
        <v>620324</v>
      </c>
      <c r="G506" t="s">
        <v>14</v>
      </c>
      <c r="H506" t="s">
        <v>15</v>
      </c>
      <c r="I506">
        <f t="shared" si="14"/>
        <v>10</v>
      </c>
      <c r="J506" s="1">
        <f t="shared" si="15"/>
        <v>30</v>
      </c>
    </row>
    <row r="507" spans="1:10">
      <c r="A507">
        <v>1506</v>
      </c>
      <c r="B507" t="s">
        <v>533</v>
      </c>
      <c r="C507" t="s">
        <v>11</v>
      </c>
      <c r="D507" t="s">
        <v>12</v>
      </c>
      <c r="E507" t="s">
        <v>30</v>
      </c>
      <c r="F507">
        <v>558168</v>
      </c>
      <c r="G507" t="s">
        <v>20</v>
      </c>
      <c r="H507" t="s">
        <v>15</v>
      </c>
      <c r="I507">
        <f t="shared" si="14"/>
        <v>40</v>
      </c>
      <c r="J507" s="1">
        <f t="shared" si="15"/>
        <v>10</v>
      </c>
    </row>
    <row r="508" spans="1:10">
      <c r="A508">
        <v>1507</v>
      </c>
      <c r="B508" t="s">
        <v>534</v>
      </c>
      <c r="C508" t="s">
        <v>17</v>
      </c>
      <c r="D508" t="s">
        <v>18</v>
      </c>
      <c r="E508" t="s">
        <v>25</v>
      </c>
      <c r="F508">
        <v>1531576</v>
      </c>
      <c r="G508" t="s">
        <v>20</v>
      </c>
      <c r="H508" t="s">
        <v>15</v>
      </c>
      <c r="I508">
        <f t="shared" si="14"/>
        <v>40</v>
      </c>
      <c r="J508" s="1">
        <f t="shared" si="15"/>
        <v>30</v>
      </c>
    </row>
    <row r="509" spans="1:10">
      <c r="A509">
        <v>1508</v>
      </c>
      <c r="B509" t="s">
        <v>535</v>
      </c>
      <c r="C509" t="s">
        <v>39</v>
      </c>
      <c r="D509" t="s">
        <v>12</v>
      </c>
      <c r="E509" t="s">
        <v>13</v>
      </c>
      <c r="F509">
        <v>559672</v>
      </c>
      <c r="G509" t="s">
        <v>14</v>
      </c>
      <c r="H509" t="s">
        <v>21</v>
      </c>
      <c r="I509">
        <f t="shared" si="14"/>
        <v>10</v>
      </c>
      <c r="J509" s="1">
        <f t="shared" si="15"/>
        <v>10</v>
      </c>
    </row>
    <row r="510" spans="1:10">
      <c r="A510">
        <v>1509</v>
      </c>
      <c r="B510" t="s">
        <v>536</v>
      </c>
      <c r="C510" t="s">
        <v>39</v>
      </c>
      <c r="D510" t="s">
        <v>12</v>
      </c>
      <c r="E510" t="s">
        <v>34</v>
      </c>
      <c r="F510">
        <v>1043155</v>
      </c>
      <c r="G510" t="s">
        <v>20</v>
      </c>
      <c r="H510" t="s">
        <v>15</v>
      </c>
      <c r="I510">
        <f t="shared" si="14"/>
        <v>40</v>
      </c>
      <c r="J510" s="1">
        <f t="shared" si="15"/>
        <v>10</v>
      </c>
    </row>
    <row r="511" spans="1:10">
      <c r="A511">
        <v>1510</v>
      </c>
      <c r="B511" t="s">
        <v>537</v>
      </c>
      <c r="C511" t="s">
        <v>23</v>
      </c>
      <c r="D511" t="s">
        <v>24</v>
      </c>
      <c r="E511" t="s">
        <v>19</v>
      </c>
      <c r="F511">
        <v>1545705</v>
      </c>
      <c r="G511" t="s">
        <v>14</v>
      </c>
      <c r="H511" t="s">
        <v>15</v>
      </c>
      <c r="I511">
        <f t="shared" si="14"/>
        <v>20</v>
      </c>
      <c r="J511" s="1">
        <f t="shared" si="15"/>
        <v>20</v>
      </c>
    </row>
    <row r="512" spans="1:10">
      <c r="A512">
        <v>1511</v>
      </c>
      <c r="B512" t="s">
        <v>538</v>
      </c>
      <c r="C512" t="s">
        <v>17</v>
      </c>
      <c r="D512" t="s">
        <v>18</v>
      </c>
      <c r="E512" t="s">
        <v>34</v>
      </c>
      <c r="F512">
        <v>685636</v>
      </c>
      <c r="G512" t="s">
        <v>20</v>
      </c>
      <c r="H512" t="s">
        <v>21</v>
      </c>
      <c r="I512">
        <f t="shared" si="14"/>
        <v>40</v>
      </c>
      <c r="J512" s="1">
        <f t="shared" si="15"/>
        <v>30</v>
      </c>
    </row>
    <row r="513" spans="1:10">
      <c r="A513">
        <v>1512</v>
      </c>
      <c r="B513" t="s">
        <v>539</v>
      </c>
      <c r="C513" t="s">
        <v>11</v>
      </c>
      <c r="D513" t="s">
        <v>12</v>
      </c>
      <c r="E513" t="s">
        <v>30</v>
      </c>
      <c r="F513">
        <v>1831224</v>
      </c>
      <c r="G513" t="s">
        <v>14</v>
      </c>
      <c r="H513" t="s">
        <v>15</v>
      </c>
      <c r="I513">
        <f t="shared" si="14"/>
        <v>20</v>
      </c>
      <c r="J513" s="1">
        <f t="shared" si="15"/>
        <v>10</v>
      </c>
    </row>
    <row r="514" spans="1:10">
      <c r="A514">
        <v>1513</v>
      </c>
      <c r="B514" t="s">
        <v>540</v>
      </c>
      <c r="C514" t="s">
        <v>54</v>
      </c>
      <c r="D514" t="s">
        <v>18</v>
      </c>
      <c r="E514" t="s">
        <v>34</v>
      </c>
      <c r="F514">
        <v>1724289</v>
      </c>
      <c r="G514" t="s">
        <v>14</v>
      </c>
      <c r="H514" t="s">
        <v>15</v>
      </c>
      <c r="I514">
        <f t="shared" si="14"/>
        <v>20</v>
      </c>
      <c r="J514" s="1">
        <f t="shared" si="15"/>
        <v>30</v>
      </c>
    </row>
    <row r="515" spans="1:10">
      <c r="A515">
        <v>1514</v>
      </c>
      <c r="B515" t="s">
        <v>541</v>
      </c>
      <c r="C515" t="s">
        <v>17</v>
      </c>
      <c r="D515" t="s">
        <v>18</v>
      </c>
      <c r="E515" t="s">
        <v>13</v>
      </c>
      <c r="F515">
        <v>532451</v>
      </c>
      <c r="G515" t="s">
        <v>20</v>
      </c>
      <c r="H515" t="s">
        <v>15</v>
      </c>
      <c r="I515">
        <f t="shared" ref="I515:I551" si="16">IF(TRIM(LOWER(G515))="yes",40,IF(VALUE(F515)&gt;1000000,20,10))</f>
        <v>40</v>
      </c>
      <c r="J515" s="1">
        <f t="shared" ref="J515:J551" si="17">IF(OR(C515="UAE",C515="Nigeria"),30,IF(C515="USA",20,10))</f>
        <v>30</v>
      </c>
    </row>
    <row r="516" spans="1:10">
      <c r="A516">
        <v>1515</v>
      </c>
      <c r="B516" t="s">
        <v>542</v>
      </c>
      <c r="C516" t="s">
        <v>54</v>
      </c>
      <c r="D516" t="s">
        <v>18</v>
      </c>
      <c r="E516" t="s">
        <v>13</v>
      </c>
      <c r="F516">
        <v>1720637</v>
      </c>
      <c r="G516" t="s">
        <v>14</v>
      </c>
      <c r="H516" t="s">
        <v>21</v>
      </c>
      <c r="I516">
        <f t="shared" si="16"/>
        <v>20</v>
      </c>
      <c r="J516" s="1">
        <f t="shared" si="17"/>
        <v>30</v>
      </c>
    </row>
    <row r="517" spans="1:10">
      <c r="A517">
        <v>1516</v>
      </c>
      <c r="B517" t="s">
        <v>543</v>
      </c>
      <c r="C517" t="s">
        <v>17</v>
      </c>
      <c r="D517" t="s">
        <v>18</v>
      </c>
      <c r="E517" t="s">
        <v>34</v>
      </c>
      <c r="F517">
        <v>728789</v>
      </c>
      <c r="G517" t="s">
        <v>14</v>
      </c>
      <c r="H517" t="s">
        <v>15</v>
      </c>
      <c r="I517">
        <f t="shared" si="16"/>
        <v>10</v>
      </c>
      <c r="J517" s="1">
        <f t="shared" si="17"/>
        <v>30</v>
      </c>
    </row>
    <row r="518" spans="1:10">
      <c r="A518">
        <v>1517</v>
      </c>
      <c r="B518" t="s">
        <v>544</v>
      </c>
      <c r="C518" t="s">
        <v>27</v>
      </c>
      <c r="D518" t="s">
        <v>12</v>
      </c>
      <c r="E518" t="s">
        <v>13</v>
      </c>
      <c r="F518">
        <v>1798552</v>
      </c>
      <c r="G518" t="s">
        <v>20</v>
      </c>
      <c r="H518" t="s">
        <v>15</v>
      </c>
      <c r="I518">
        <f t="shared" si="16"/>
        <v>40</v>
      </c>
      <c r="J518" s="1">
        <f t="shared" si="17"/>
        <v>10</v>
      </c>
    </row>
    <row r="519" spans="1:10">
      <c r="A519">
        <v>1518</v>
      </c>
      <c r="B519" t="s">
        <v>545</v>
      </c>
      <c r="C519" t="s">
        <v>39</v>
      </c>
      <c r="D519" t="s">
        <v>12</v>
      </c>
      <c r="E519" t="s">
        <v>19</v>
      </c>
      <c r="F519">
        <v>1399113</v>
      </c>
      <c r="G519" t="s">
        <v>14</v>
      </c>
      <c r="H519" t="s">
        <v>15</v>
      </c>
      <c r="I519">
        <f t="shared" si="16"/>
        <v>20</v>
      </c>
      <c r="J519" s="1">
        <f t="shared" si="17"/>
        <v>10</v>
      </c>
    </row>
    <row r="520" spans="1:10">
      <c r="A520">
        <v>1519</v>
      </c>
      <c r="B520" t="s">
        <v>546</v>
      </c>
      <c r="C520" t="s">
        <v>11</v>
      </c>
      <c r="D520" t="s">
        <v>12</v>
      </c>
      <c r="E520" t="s">
        <v>30</v>
      </c>
      <c r="F520">
        <v>1511480</v>
      </c>
      <c r="G520" t="s">
        <v>20</v>
      </c>
      <c r="H520" t="s">
        <v>21</v>
      </c>
      <c r="I520">
        <f t="shared" si="16"/>
        <v>40</v>
      </c>
      <c r="J520" s="1">
        <f t="shared" si="17"/>
        <v>10</v>
      </c>
    </row>
    <row r="521" spans="1:10">
      <c r="A521">
        <v>1520</v>
      </c>
      <c r="B521" t="s">
        <v>547</v>
      </c>
      <c r="C521" t="s">
        <v>17</v>
      </c>
      <c r="D521" t="s">
        <v>18</v>
      </c>
      <c r="E521" t="s">
        <v>13</v>
      </c>
      <c r="F521">
        <v>1667523</v>
      </c>
      <c r="G521" t="s">
        <v>14</v>
      </c>
      <c r="H521" t="s">
        <v>21</v>
      </c>
      <c r="I521">
        <f t="shared" si="16"/>
        <v>20</v>
      </c>
      <c r="J521" s="1">
        <f t="shared" si="17"/>
        <v>30</v>
      </c>
    </row>
    <row r="522" spans="1:10">
      <c r="A522">
        <v>1521</v>
      </c>
      <c r="B522" t="s">
        <v>548</v>
      </c>
      <c r="C522" t="s">
        <v>11</v>
      </c>
      <c r="D522" t="s">
        <v>12</v>
      </c>
      <c r="E522" t="s">
        <v>25</v>
      </c>
      <c r="F522">
        <v>1688559</v>
      </c>
      <c r="G522" t="s">
        <v>14</v>
      </c>
      <c r="H522" t="s">
        <v>21</v>
      </c>
      <c r="I522">
        <f t="shared" si="16"/>
        <v>20</v>
      </c>
      <c r="J522" s="1">
        <f t="shared" si="17"/>
        <v>10</v>
      </c>
    </row>
    <row r="523" spans="1:10">
      <c r="A523">
        <v>1522</v>
      </c>
      <c r="B523" t="s">
        <v>549</v>
      </c>
      <c r="C523" t="s">
        <v>39</v>
      </c>
      <c r="D523" t="s">
        <v>12</v>
      </c>
      <c r="E523" t="s">
        <v>19</v>
      </c>
      <c r="F523">
        <v>1363460</v>
      </c>
      <c r="G523" t="s">
        <v>14</v>
      </c>
      <c r="H523" t="s">
        <v>21</v>
      </c>
      <c r="I523">
        <f t="shared" si="16"/>
        <v>20</v>
      </c>
      <c r="J523" s="1">
        <f t="shared" si="17"/>
        <v>10</v>
      </c>
    </row>
    <row r="524" spans="1:10">
      <c r="A524">
        <v>1523</v>
      </c>
      <c r="B524" t="s">
        <v>550</v>
      </c>
      <c r="C524" t="s">
        <v>54</v>
      </c>
      <c r="D524" t="s">
        <v>18</v>
      </c>
      <c r="E524" t="s">
        <v>19</v>
      </c>
      <c r="F524">
        <v>1209851</v>
      </c>
      <c r="G524" t="s">
        <v>14</v>
      </c>
      <c r="H524" t="s">
        <v>21</v>
      </c>
      <c r="I524">
        <f t="shared" si="16"/>
        <v>20</v>
      </c>
      <c r="J524" s="1">
        <f t="shared" si="17"/>
        <v>30</v>
      </c>
    </row>
    <row r="525" spans="1:10">
      <c r="A525">
        <v>1524</v>
      </c>
      <c r="B525" t="s">
        <v>551</v>
      </c>
      <c r="C525" t="s">
        <v>27</v>
      </c>
      <c r="D525" t="s">
        <v>12</v>
      </c>
      <c r="E525" t="s">
        <v>34</v>
      </c>
      <c r="F525">
        <v>377312</v>
      </c>
      <c r="G525" t="s">
        <v>14</v>
      </c>
      <c r="H525" t="s">
        <v>15</v>
      </c>
      <c r="I525">
        <f t="shared" si="16"/>
        <v>10</v>
      </c>
      <c r="J525" s="1">
        <f t="shared" si="17"/>
        <v>10</v>
      </c>
    </row>
    <row r="526" spans="1:10">
      <c r="A526">
        <v>1525</v>
      </c>
      <c r="B526" t="s">
        <v>552</v>
      </c>
      <c r="C526" t="s">
        <v>54</v>
      </c>
      <c r="D526" t="s">
        <v>18</v>
      </c>
      <c r="E526" t="s">
        <v>19</v>
      </c>
      <c r="F526">
        <v>851003</v>
      </c>
      <c r="G526" t="s">
        <v>14</v>
      </c>
      <c r="H526" t="s">
        <v>21</v>
      </c>
      <c r="I526">
        <f t="shared" si="16"/>
        <v>10</v>
      </c>
      <c r="J526" s="1">
        <f t="shared" si="17"/>
        <v>30</v>
      </c>
    </row>
    <row r="527" spans="1:10">
      <c r="A527">
        <v>1526</v>
      </c>
      <c r="B527" t="s">
        <v>553</v>
      </c>
      <c r="C527" t="s">
        <v>39</v>
      </c>
      <c r="D527" t="s">
        <v>12</v>
      </c>
      <c r="E527" t="s">
        <v>25</v>
      </c>
      <c r="F527">
        <v>637101</v>
      </c>
      <c r="G527" t="s">
        <v>14</v>
      </c>
      <c r="H527" t="s">
        <v>21</v>
      </c>
      <c r="I527">
        <f t="shared" si="16"/>
        <v>10</v>
      </c>
      <c r="J527" s="1">
        <f t="shared" si="17"/>
        <v>10</v>
      </c>
    </row>
    <row r="528" spans="1:10">
      <c r="A528">
        <v>1527</v>
      </c>
      <c r="B528" t="s">
        <v>554</v>
      </c>
      <c r="C528" t="s">
        <v>17</v>
      </c>
      <c r="D528" t="s">
        <v>18</v>
      </c>
      <c r="E528" t="s">
        <v>34</v>
      </c>
      <c r="F528">
        <v>1719284</v>
      </c>
      <c r="G528" t="s">
        <v>14</v>
      </c>
      <c r="H528" t="s">
        <v>15</v>
      </c>
      <c r="I528">
        <f t="shared" si="16"/>
        <v>20</v>
      </c>
      <c r="J528" s="1">
        <f t="shared" si="17"/>
        <v>30</v>
      </c>
    </row>
    <row r="529" spans="1:10">
      <c r="A529">
        <v>1528</v>
      </c>
      <c r="B529" t="s">
        <v>555</v>
      </c>
      <c r="C529" t="s">
        <v>27</v>
      </c>
      <c r="D529" t="s">
        <v>12</v>
      </c>
      <c r="E529" t="s">
        <v>34</v>
      </c>
      <c r="F529">
        <v>1818584</v>
      </c>
      <c r="G529" t="s">
        <v>20</v>
      </c>
      <c r="H529" t="s">
        <v>15</v>
      </c>
      <c r="I529">
        <f t="shared" si="16"/>
        <v>40</v>
      </c>
      <c r="J529" s="1">
        <f t="shared" si="17"/>
        <v>10</v>
      </c>
    </row>
    <row r="530" spans="1:10">
      <c r="A530">
        <v>1529</v>
      </c>
      <c r="B530" t="s">
        <v>556</v>
      </c>
      <c r="C530" t="s">
        <v>54</v>
      </c>
      <c r="D530" t="s">
        <v>18</v>
      </c>
      <c r="E530" t="s">
        <v>25</v>
      </c>
      <c r="F530">
        <v>513930</v>
      </c>
      <c r="G530" t="s">
        <v>14</v>
      </c>
      <c r="H530" t="s">
        <v>21</v>
      </c>
      <c r="I530">
        <f t="shared" si="16"/>
        <v>10</v>
      </c>
      <c r="J530" s="1">
        <f t="shared" si="17"/>
        <v>30</v>
      </c>
    </row>
    <row r="531" spans="1:10">
      <c r="A531">
        <v>1530</v>
      </c>
      <c r="B531" t="s">
        <v>557</v>
      </c>
      <c r="C531" t="s">
        <v>54</v>
      </c>
      <c r="D531" t="s">
        <v>18</v>
      </c>
      <c r="E531" t="s">
        <v>25</v>
      </c>
      <c r="F531">
        <v>1961145</v>
      </c>
      <c r="G531" t="s">
        <v>20</v>
      </c>
      <c r="H531" t="s">
        <v>21</v>
      </c>
      <c r="I531">
        <f t="shared" si="16"/>
        <v>40</v>
      </c>
      <c r="J531" s="1">
        <f t="shared" si="17"/>
        <v>30</v>
      </c>
    </row>
    <row r="532" spans="1:10">
      <c r="A532">
        <v>1531</v>
      </c>
      <c r="B532" t="s">
        <v>558</v>
      </c>
      <c r="C532" t="s">
        <v>27</v>
      </c>
      <c r="D532" t="s">
        <v>12</v>
      </c>
      <c r="E532" t="s">
        <v>13</v>
      </c>
      <c r="F532">
        <v>1171726</v>
      </c>
      <c r="G532" t="s">
        <v>14</v>
      </c>
      <c r="H532" t="s">
        <v>15</v>
      </c>
      <c r="I532">
        <f t="shared" si="16"/>
        <v>20</v>
      </c>
      <c r="J532" s="1">
        <f t="shared" si="17"/>
        <v>10</v>
      </c>
    </row>
    <row r="533" spans="1:10">
      <c r="A533">
        <v>1532</v>
      </c>
      <c r="B533" t="s">
        <v>559</v>
      </c>
      <c r="C533" t="s">
        <v>17</v>
      </c>
      <c r="D533" t="s">
        <v>18</v>
      </c>
      <c r="E533" t="s">
        <v>34</v>
      </c>
      <c r="F533">
        <v>939484</v>
      </c>
      <c r="G533" t="s">
        <v>20</v>
      </c>
      <c r="H533" t="s">
        <v>15</v>
      </c>
      <c r="I533">
        <f t="shared" si="16"/>
        <v>40</v>
      </c>
      <c r="J533" s="1">
        <f t="shared" si="17"/>
        <v>30</v>
      </c>
    </row>
    <row r="534" spans="1:10">
      <c r="A534">
        <v>1533</v>
      </c>
      <c r="B534" t="s">
        <v>560</v>
      </c>
      <c r="C534" t="s">
        <v>17</v>
      </c>
      <c r="D534" t="s">
        <v>18</v>
      </c>
      <c r="E534" t="s">
        <v>19</v>
      </c>
      <c r="F534">
        <v>820848</v>
      </c>
      <c r="G534" t="s">
        <v>20</v>
      </c>
      <c r="H534" t="s">
        <v>15</v>
      </c>
      <c r="I534">
        <f t="shared" si="16"/>
        <v>40</v>
      </c>
      <c r="J534" s="1">
        <f t="shared" si="17"/>
        <v>30</v>
      </c>
    </row>
    <row r="535" spans="1:10">
      <c r="A535">
        <v>1534</v>
      </c>
      <c r="B535" t="s">
        <v>561</v>
      </c>
      <c r="C535" t="s">
        <v>39</v>
      </c>
      <c r="D535" t="s">
        <v>12</v>
      </c>
      <c r="E535" t="s">
        <v>25</v>
      </c>
      <c r="F535">
        <v>1907252</v>
      </c>
      <c r="G535" t="s">
        <v>14</v>
      </c>
      <c r="H535" t="s">
        <v>21</v>
      </c>
      <c r="I535">
        <f t="shared" si="16"/>
        <v>20</v>
      </c>
      <c r="J535" s="1">
        <f t="shared" si="17"/>
        <v>10</v>
      </c>
    </row>
    <row r="536" spans="1:10">
      <c r="A536">
        <v>1535</v>
      </c>
      <c r="B536" t="s">
        <v>562</v>
      </c>
      <c r="C536" t="s">
        <v>54</v>
      </c>
      <c r="D536" t="s">
        <v>18</v>
      </c>
      <c r="E536" t="s">
        <v>34</v>
      </c>
      <c r="F536">
        <v>1265604</v>
      </c>
      <c r="G536" t="s">
        <v>14</v>
      </c>
      <c r="H536" t="s">
        <v>15</v>
      </c>
      <c r="I536">
        <f t="shared" si="16"/>
        <v>20</v>
      </c>
      <c r="J536" s="1">
        <f t="shared" si="17"/>
        <v>30</v>
      </c>
    </row>
    <row r="537" spans="1:10">
      <c r="A537">
        <v>1536</v>
      </c>
      <c r="B537" t="s">
        <v>563</v>
      </c>
      <c r="C537" t="s">
        <v>39</v>
      </c>
      <c r="D537" t="s">
        <v>12</v>
      </c>
      <c r="E537" t="s">
        <v>13</v>
      </c>
      <c r="F537">
        <v>733176</v>
      </c>
      <c r="G537" t="s">
        <v>20</v>
      </c>
      <c r="H537" t="s">
        <v>15</v>
      </c>
      <c r="I537">
        <f t="shared" si="16"/>
        <v>40</v>
      </c>
      <c r="J537" s="1">
        <f t="shared" si="17"/>
        <v>10</v>
      </c>
    </row>
    <row r="538" spans="1:10">
      <c r="A538">
        <v>1537</v>
      </c>
      <c r="B538" t="s">
        <v>564</v>
      </c>
      <c r="C538" t="s">
        <v>39</v>
      </c>
      <c r="D538" t="s">
        <v>12</v>
      </c>
      <c r="E538" t="s">
        <v>13</v>
      </c>
      <c r="F538">
        <v>701356</v>
      </c>
      <c r="G538" t="s">
        <v>20</v>
      </c>
      <c r="H538" t="s">
        <v>15</v>
      </c>
      <c r="I538">
        <f t="shared" si="16"/>
        <v>40</v>
      </c>
      <c r="J538" s="1">
        <f t="shared" si="17"/>
        <v>10</v>
      </c>
    </row>
    <row r="539" spans="1:10">
      <c r="A539">
        <v>1538</v>
      </c>
      <c r="B539" t="s">
        <v>565</v>
      </c>
      <c r="C539" t="s">
        <v>23</v>
      </c>
      <c r="D539" t="s">
        <v>24</v>
      </c>
      <c r="E539" t="s">
        <v>34</v>
      </c>
      <c r="F539">
        <v>1043953</v>
      </c>
      <c r="G539" t="s">
        <v>14</v>
      </c>
      <c r="H539" t="s">
        <v>21</v>
      </c>
      <c r="I539">
        <f t="shared" si="16"/>
        <v>20</v>
      </c>
      <c r="J539" s="1">
        <f t="shared" si="17"/>
        <v>20</v>
      </c>
    </row>
    <row r="540" spans="1:10">
      <c r="A540">
        <v>1539</v>
      </c>
      <c r="B540" t="s">
        <v>566</v>
      </c>
      <c r="C540" t="s">
        <v>39</v>
      </c>
      <c r="D540" t="s">
        <v>12</v>
      </c>
      <c r="E540" t="s">
        <v>30</v>
      </c>
      <c r="F540">
        <v>767396</v>
      </c>
      <c r="G540" t="s">
        <v>14</v>
      </c>
      <c r="H540" t="s">
        <v>15</v>
      </c>
      <c r="I540">
        <f t="shared" si="16"/>
        <v>10</v>
      </c>
      <c r="J540" s="1">
        <f t="shared" si="17"/>
        <v>10</v>
      </c>
    </row>
    <row r="541" spans="1:10">
      <c r="A541">
        <v>1540</v>
      </c>
      <c r="B541" t="s">
        <v>567</v>
      </c>
      <c r="C541" t="s">
        <v>39</v>
      </c>
      <c r="D541" t="s">
        <v>12</v>
      </c>
      <c r="E541" t="s">
        <v>19</v>
      </c>
      <c r="F541">
        <v>498867</v>
      </c>
      <c r="G541" t="s">
        <v>20</v>
      </c>
      <c r="H541" t="s">
        <v>15</v>
      </c>
      <c r="I541">
        <f t="shared" si="16"/>
        <v>40</v>
      </c>
      <c r="J541" s="1">
        <f t="shared" si="17"/>
        <v>10</v>
      </c>
    </row>
    <row r="542" spans="1:10">
      <c r="A542">
        <v>1541</v>
      </c>
      <c r="B542" t="s">
        <v>568</v>
      </c>
      <c r="C542" t="s">
        <v>17</v>
      </c>
      <c r="D542" t="s">
        <v>18</v>
      </c>
      <c r="E542" t="s">
        <v>30</v>
      </c>
      <c r="F542">
        <v>666268</v>
      </c>
      <c r="G542" t="s">
        <v>14</v>
      </c>
      <c r="H542" t="s">
        <v>15</v>
      </c>
      <c r="I542">
        <f t="shared" si="16"/>
        <v>10</v>
      </c>
      <c r="J542" s="1">
        <f t="shared" si="17"/>
        <v>30</v>
      </c>
    </row>
    <row r="543" spans="1:10">
      <c r="A543">
        <v>1542</v>
      </c>
      <c r="B543" t="s">
        <v>569</v>
      </c>
      <c r="C543" t="s">
        <v>23</v>
      </c>
      <c r="D543" t="s">
        <v>24</v>
      </c>
      <c r="E543" t="s">
        <v>13</v>
      </c>
      <c r="F543">
        <v>1212487</v>
      </c>
      <c r="G543" t="s">
        <v>20</v>
      </c>
      <c r="H543" t="s">
        <v>15</v>
      </c>
      <c r="I543">
        <f t="shared" si="16"/>
        <v>40</v>
      </c>
      <c r="J543" s="1">
        <f t="shared" si="17"/>
        <v>20</v>
      </c>
    </row>
    <row r="544" spans="1:10">
      <c r="A544">
        <v>1543</v>
      </c>
      <c r="B544" t="s">
        <v>570</v>
      </c>
      <c r="C544" t="s">
        <v>23</v>
      </c>
      <c r="D544" t="s">
        <v>24</v>
      </c>
      <c r="E544" t="s">
        <v>19</v>
      </c>
      <c r="F544">
        <v>1109687</v>
      </c>
      <c r="G544" t="s">
        <v>20</v>
      </c>
      <c r="H544" t="s">
        <v>15</v>
      </c>
      <c r="I544">
        <f t="shared" si="16"/>
        <v>40</v>
      </c>
      <c r="J544" s="1">
        <f t="shared" si="17"/>
        <v>20</v>
      </c>
    </row>
    <row r="545" spans="1:10">
      <c r="A545">
        <v>1544</v>
      </c>
      <c r="B545" t="s">
        <v>571</v>
      </c>
      <c r="C545" t="s">
        <v>54</v>
      </c>
      <c r="D545" t="s">
        <v>18</v>
      </c>
      <c r="E545" t="s">
        <v>30</v>
      </c>
      <c r="F545">
        <v>1017260</v>
      </c>
      <c r="G545" t="s">
        <v>14</v>
      </c>
      <c r="H545" t="s">
        <v>21</v>
      </c>
      <c r="I545">
        <f t="shared" si="16"/>
        <v>20</v>
      </c>
      <c r="J545" s="1">
        <f t="shared" si="17"/>
        <v>30</v>
      </c>
    </row>
    <row r="546" spans="1:10">
      <c r="A546">
        <v>1545</v>
      </c>
      <c r="B546" t="s">
        <v>572</v>
      </c>
      <c r="C546" t="s">
        <v>39</v>
      </c>
      <c r="D546" t="s">
        <v>12</v>
      </c>
      <c r="E546" t="s">
        <v>13</v>
      </c>
      <c r="F546">
        <v>714700</v>
      </c>
      <c r="G546" t="s">
        <v>14</v>
      </c>
      <c r="H546" t="s">
        <v>15</v>
      </c>
      <c r="I546">
        <f t="shared" si="16"/>
        <v>10</v>
      </c>
      <c r="J546" s="1">
        <f t="shared" si="17"/>
        <v>10</v>
      </c>
    </row>
    <row r="547" spans="1:10">
      <c r="A547">
        <v>1546</v>
      </c>
      <c r="B547" t="s">
        <v>573</v>
      </c>
      <c r="C547" t="s">
        <v>27</v>
      </c>
      <c r="D547" t="s">
        <v>12</v>
      </c>
      <c r="E547" t="s">
        <v>25</v>
      </c>
      <c r="F547">
        <v>1297312</v>
      </c>
      <c r="G547" t="s">
        <v>20</v>
      </c>
      <c r="H547" t="s">
        <v>15</v>
      </c>
      <c r="I547">
        <f t="shared" si="16"/>
        <v>40</v>
      </c>
      <c r="J547" s="1">
        <f t="shared" si="17"/>
        <v>10</v>
      </c>
    </row>
    <row r="548" spans="1:10">
      <c r="A548">
        <v>1547</v>
      </c>
      <c r="B548" t="s">
        <v>574</v>
      </c>
      <c r="C548" t="s">
        <v>39</v>
      </c>
      <c r="D548" t="s">
        <v>12</v>
      </c>
      <c r="E548" t="s">
        <v>30</v>
      </c>
      <c r="F548">
        <v>1633334</v>
      </c>
      <c r="G548" t="s">
        <v>14</v>
      </c>
      <c r="H548" t="s">
        <v>21</v>
      </c>
      <c r="I548">
        <f t="shared" si="16"/>
        <v>20</v>
      </c>
      <c r="J548" s="1">
        <f t="shared" si="17"/>
        <v>10</v>
      </c>
    </row>
    <row r="549" spans="1:10">
      <c r="A549">
        <v>1548</v>
      </c>
      <c r="B549" t="s">
        <v>575</v>
      </c>
      <c r="C549" t="s">
        <v>39</v>
      </c>
      <c r="D549" t="s">
        <v>12</v>
      </c>
      <c r="E549" t="s">
        <v>30</v>
      </c>
      <c r="F549">
        <v>1682789</v>
      </c>
      <c r="G549" t="s">
        <v>14</v>
      </c>
      <c r="H549" t="s">
        <v>15</v>
      </c>
      <c r="I549">
        <f t="shared" si="16"/>
        <v>20</v>
      </c>
      <c r="J549" s="1">
        <f t="shared" si="17"/>
        <v>10</v>
      </c>
    </row>
    <row r="550" spans="1:10">
      <c r="A550">
        <v>1549</v>
      </c>
      <c r="B550" t="s">
        <v>576</v>
      </c>
      <c r="C550" t="s">
        <v>11</v>
      </c>
      <c r="D550" t="s">
        <v>12</v>
      </c>
      <c r="E550" t="s">
        <v>25</v>
      </c>
      <c r="F550">
        <v>1342425</v>
      </c>
      <c r="G550" t="s">
        <v>14</v>
      </c>
      <c r="H550" t="s">
        <v>15</v>
      </c>
      <c r="I550">
        <f t="shared" si="16"/>
        <v>20</v>
      </c>
      <c r="J550" s="1">
        <f t="shared" si="17"/>
        <v>10</v>
      </c>
    </row>
    <row r="551" spans="1:10">
      <c r="A551">
        <v>1550</v>
      </c>
      <c r="B551" t="s">
        <v>577</v>
      </c>
      <c r="C551" t="s">
        <v>11</v>
      </c>
      <c r="D551" t="s">
        <v>12</v>
      </c>
      <c r="E551" t="s">
        <v>30</v>
      </c>
      <c r="F551">
        <v>755135</v>
      </c>
      <c r="G551" t="s">
        <v>14</v>
      </c>
      <c r="H551" t="s">
        <v>15</v>
      </c>
      <c r="I551">
        <f t="shared" si="16"/>
        <v>10</v>
      </c>
      <c r="J551" s="1">
        <f t="shared" si="17"/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workbookViewId="0">
      <selection activeCell="P999" sqref="P999"/>
    </sheetView>
  </sheetViews>
  <sheetFormatPr defaultColWidth="9" defaultRowHeight="14.4"/>
  <sheetData>
    <row r="1" spans="1:10">
      <c r="A1" t="s">
        <v>0</v>
      </c>
      <c r="B1" t="s">
        <v>578</v>
      </c>
      <c r="C1" t="s">
        <v>579</v>
      </c>
      <c r="D1" t="s">
        <v>580</v>
      </c>
      <c r="E1" t="s">
        <v>581</v>
      </c>
      <c r="F1" t="s">
        <v>2</v>
      </c>
      <c r="G1" t="s">
        <v>582</v>
      </c>
      <c r="H1" t="s">
        <v>583</v>
      </c>
      <c r="I1" t="s">
        <v>584</v>
      </c>
      <c r="J1" t="s">
        <v>585</v>
      </c>
    </row>
    <row r="2" spans="1:10">
      <c r="A2">
        <v>1064</v>
      </c>
      <c r="B2" t="s">
        <v>586</v>
      </c>
      <c r="C2" t="s">
        <v>587</v>
      </c>
      <c r="D2">
        <v>387455</v>
      </c>
      <c r="E2" t="s">
        <v>588</v>
      </c>
      <c r="F2" t="s">
        <v>11</v>
      </c>
      <c r="G2" t="str">
        <f t="shared" ref="G2:G65" si="0">IF(OR(D2&gt;100000,F2="UAE",F2="Nigeria"),"Yes","No")</f>
        <v>Yes</v>
      </c>
      <c r="H2">
        <f>IF(D2&gt;100000,30,0)+IF(TRIM(LOWER(G2))="yes",40,0)</f>
        <v>70</v>
      </c>
      <c r="I2" s="1">
        <f>IF(COUNTIF('Transaction Data'!A:A,A2)&gt;5,20,0)+IF(COUNTIFS('Transaction Data'!A:A,A2,'Transaction Data'!G:G,"Yes")&gt;2,30,0)</f>
        <v>0</v>
      </c>
      <c r="J2">
        <f>'Client Master Data'!I2+'Client Master Data'!J2+H2+I2</f>
        <v>90</v>
      </c>
    </row>
    <row r="3" spans="1:10">
      <c r="A3">
        <v>1261</v>
      </c>
      <c r="B3" t="s">
        <v>589</v>
      </c>
      <c r="C3" t="s">
        <v>590</v>
      </c>
      <c r="D3">
        <v>339381</v>
      </c>
      <c r="E3" t="s">
        <v>588</v>
      </c>
      <c r="F3" t="s">
        <v>27</v>
      </c>
      <c r="G3" t="str">
        <f t="shared" si="0"/>
        <v>Yes</v>
      </c>
      <c r="H3">
        <f t="shared" ref="H3:H66" si="1">IF(D3&gt;100000,30,0)+IF(TRIM(LOWER(G3))="yes",40,0)</f>
        <v>70</v>
      </c>
      <c r="I3" s="1">
        <f>IF(COUNTIF('Transaction Data'!A:A,A3)&gt;5,20,0)+IF(COUNTIFS('Transaction Data'!A:A,A3,'Transaction Data'!G:G,"Yes")&gt;2,30,0)</f>
        <v>30</v>
      </c>
      <c r="J3">
        <f>'Client Master Data'!I3+'Client Master Data'!J3+H3+I3</f>
        <v>170</v>
      </c>
    </row>
    <row r="4" spans="1:10">
      <c r="A4">
        <v>1192</v>
      </c>
      <c r="B4" t="s">
        <v>591</v>
      </c>
      <c r="C4" t="s">
        <v>592</v>
      </c>
      <c r="D4">
        <v>25045</v>
      </c>
      <c r="E4" t="s">
        <v>593</v>
      </c>
      <c r="F4" t="s">
        <v>17</v>
      </c>
      <c r="G4" t="str">
        <f t="shared" si="0"/>
        <v>Yes</v>
      </c>
      <c r="H4">
        <f t="shared" si="1"/>
        <v>40</v>
      </c>
      <c r="I4" s="1">
        <f>IF(COUNTIF('Transaction Data'!A:A,A4)&gt;5,20,0)+IF(COUNTIFS('Transaction Data'!A:A,A4,'Transaction Data'!G:G,"Yes")&gt;2,30,0)</f>
        <v>30</v>
      </c>
      <c r="J4">
        <f>'Client Master Data'!I4+'Client Master Data'!J4+H4+I4</f>
        <v>130</v>
      </c>
    </row>
    <row r="5" spans="1:10">
      <c r="A5">
        <v>1073</v>
      </c>
      <c r="B5" t="s">
        <v>594</v>
      </c>
      <c r="C5" t="s">
        <v>595</v>
      </c>
      <c r="D5">
        <v>254319</v>
      </c>
      <c r="E5" t="s">
        <v>593</v>
      </c>
      <c r="F5" t="s">
        <v>39</v>
      </c>
      <c r="G5" t="str">
        <f t="shared" si="0"/>
        <v>Yes</v>
      </c>
      <c r="H5">
        <f t="shared" si="1"/>
        <v>70</v>
      </c>
      <c r="I5" s="1">
        <f>IF(COUNTIF('Transaction Data'!A:A,A5)&gt;5,20,0)+IF(COUNTIFS('Transaction Data'!A:A,A5,'Transaction Data'!G:G,"Yes")&gt;2,30,0)</f>
        <v>30</v>
      </c>
      <c r="J5">
        <f>'Client Master Data'!I5+'Client Master Data'!J5+H5+I5</f>
        <v>150</v>
      </c>
    </row>
    <row r="6" spans="1:10">
      <c r="A6">
        <v>1375</v>
      </c>
      <c r="B6" t="s">
        <v>596</v>
      </c>
      <c r="C6" t="s">
        <v>597</v>
      </c>
      <c r="D6">
        <v>78671</v>
      </c>
      <c r="E6" t="s">
        <v>593</v>
      </c>
      <c r="F6" t="s">
        <v>54</v>
      </c>
      <c r="G6" t="str">
        <f t="shared" si="0"/>
        <v>Yes</v>
      </c>
      <c r="H6">
        <f t="shared" si="1"/>
        <v>40</v>
      </c>
      <c r="I6" s="1">
        <f>IF(COUNTIF('Transaction Data'!A:A,A6)&gt;5,20,0)+IF(COUNTIFS('Transaction Data'!A:A,A6,'Transaction Data'!G:G,"Yes")&gt;2,30,0)</f>
        <v>30</v>
      </c>
      <c r="J6">
        <f>'Client Master Data'!I6+'Client Master Data'!J6+H6+I6</f>
        <v>140</v>
      </c>
    </row>
    <row r="7" spans="1:10">
      <c r="A7">
        <v>1512</v>
      </c>
      <c r="B7" t="s">
        <v>598</v>
      </c>
      <c r="C7" t="s">
        <v>599</v>
      </c>
      <c r="D7">
        <v>23880</v>
      </c>
      <c r="E7" t="s">
        <v>600</v>
      </c>
      <c r="F7" t="s">
        <v>39</v>
      </c>
      <c r="G7" t="str">
        <f t="shared" si="0"/>
        <v>No</v>
      </c>
      <c r="H7">
        <f t="shared" si="1"/>
        <v>0</v>
      </c>
      <c r="I7" s="1">
        <f>IF(COUNTIF('Transaction Data'!A:A,A7)&gt;5,20,0)+IF(COUNTIFS('Transaction Data'!A:A,A7,'Transaction Data'!G:G,"Yes")&gt;2,30,0)</f>
        <v>30</v>
      </c>
      <c r="J7">
        <f>'Client Master Data'!I7+'Client Master Data'!J7+H7+I7</f>
        <v>80</v>
      </c>
    </row>
    <row r="8" spans="1:10">
      <c r="A8">
        <v>1326</v>
      </c>
      <c r="B8" t="s">
        <v>601</v>
      </c>
      <c r="C8" t="s">
        <v>602</v>
      </c>
      <c r="D8">
        <v>478148</v>
      </c>
      <c r="E8" t="s">
        <v>593</v>
      </c>
      <c r="F8" t="s">
        <v>11</v>
      </c>
      <c r="G8" t="str">
        <f t="shared" si="0"/>
        <v>Yes</v>
      </c>
      <c r="H8">
        <f t="shared" si="1"/>
        <v>70</v>
      </c>
      <c r="I8" s="1">
        <f>IF(COUNTIF('Transaction Data'!A:A,A8)&gt;5,20,0)+IF(COUNTIFS('Transaction Data'!A:A,A8,'Transaction Data'!G:G,"Yes")&gt;2,30,0)</f>
        <v>0</v>
      </c>
      <c r="J8">
        <f>'Client Master Data'!I8+'Client Master Data'!J8+H8+I8</f>
        <v>120</v>
      </c>
    </row>
    <row r="9" spans="1:10">
      <c r="A9">
        <v>1255</v>
      </c>
      <c r="B9" t="s">
        <v>603</v>
      </c>
      <c r="C9" t="s">
        <v>604</v>
      </c>
      <c r="D9">
        <v>356123</v>
      </c>
      <c r="E9" t="s">
        <v>593</v>
      </c>
      <c r="F9" t="s">
        <v>27</v>
      </c>
      <c r="G9" t="str">
        <f t="shared" si="0"/>
        <v>Yes</v>
      </c>
      <c r="H9">
        <f t="shared" si="1"/>
        <v>70</v>
      </c>
      <c r="I9" s="1">
        <f>IF(COUNTIF('Transaction Data'!A:A,A9)&gt;5,20,0)+IF(COUNTIFS('Transaction Data'!A:A,A9,'Transaction Data'!G:G,"Yes")&gt;2,30,0)</f>
        <v>0</v>
      </c>
      <c r="J9">
        <f>'Client Master Data'!I9+'Client Master Data'!J9+H9+I9</f>
        <v>120</v>
      </c>
    </row>
    <row r="10" spans="1:10">
      <c r="A10">
        <v>1352</v>
      </c>
      <c r="B10" t="s">
        <v>605</v>
      </c>
      <c r="C10" t="s">
        <v>606</v>
      </c>
      <c r="D10">
        <v>412128</v>
      </c>
      <c r="E10" t="s">
        <v>593</v>
      </c>
      <c r="F10" t="s">
        <v>23</v>
      </c>
      <c r="G10" t="str">
        <f t="shared" si="0"/>
        <v>Yes</v>
      </c>
      <c r="H10">
        <f t="shared" si="1"/>
        <v>70</v>
      </c>
      <c r="I10" s="1">
        <f>IF(COUNTIF('Transaction Data'!A:A,A10)&gt;5,20,0)+IF(COUNTIFS('Transaction Data'!A:A,A10,'Transaction Data'!G:G,"Yes")&gt;2,30,0)</f>
        <v>0</v>
      </c>
      <c r="J10">
        <f>'Client Master Data'!I10+'Client Master Data'!J10+H10+I10</f>
        <v>100</v>
      </c>
    </row>
    <row r="11" spans="1:10">
      <c r="A11">
        <v>1357</v>
      </c>
      <c r="B11" t="s">
        <v>607</v>
      </c>
      <c r="C11" t="s">
        <v>608</v>
      </c>
      <c r="D11">
        <v>113778</v>
      </c>
      <c r="E11" t="s">
        <v>588</v>
      </c>
      <c r="F11" t="s">
        <v>23</v>
      </c>
      <c r="G11" t="str">
        <f t="shared" si="0"/>
        <v>Yes</v>
      </c>
      <c r="H11">
        <f t="shared" si="1"/>
        <v>70</v>
      </c>
      <c r="I11" s="1">
        <f>IF(COUNTIF('Transaction Data'!A:A,A11)&gt;5,20,0)+IF(COUNTIFS('Transaction Data'!A:A,A11,'Transaction Data'!G:G,"Yes")&gt;2,30,0)</f>
        <v>30</v>
      </c>
      <c r="J11">
        <f>'Client Master Data'!I11+'Client Master Data'!J11+H11+I11</f>
        <v>150</v>
      </c>
    </row>
    <row r="12" spans="1:10">
      <c r="A12">
        <v>1213</v>
      </c>
      <c r="B12" t="s">
        <v>609</v>
      </c>
      <c r="C12" t="s">
        <v>610</v>
      </c>
      <c r="D12">
        <v>283713</v>
      </c>
      <c r="E12" t="s">
        <v>588</v>
      </c>
      <c r="F12" t="s">
        <v>17</v>
      </c>
      <c r="G12" t="str">
        <f t="shared" si="0"/>
        <v>Yes</v>
      </c>
      <c r="H12">
        <f t="shared" si="1"/>
        <v>70</v>
      </c>
      <c r="I12" s="1">
        <f>IF(COUNTIF('Transaction Data'!A:A,A12)&gt;5,20,0)+IF(COUNTIFS('Transaction Data'!A:A,A12,'Transaction Data'!G:G,"Yes")&gt;2,30,0)</f>
        <v>50</v>
      </c>
      <c r="J12">
        <f>'Client Master Data'!I12+'Client Master Data'!J12+H12+I12</f>
        <v>170</v>
      </c>
    </row>
    <row r="13" spans="1:10">
      <c r="A13">
        <v>1124</v>
      </c>
      <c r="B13" t="s">
        <v>611</v>
      </c>
      <c r="C13" t="s">
        <v>612</v>
      </c>
      <c r="D13">
        <v>45064</v>
      </c>
      <c r="E13" t="s">
        <v>588</v>
      </c>
      <c r="F13" t="s">
        <v>39</v>
      </c>
      <c r="G13" t="str">
        <f t="shared" si="0"/>
        <v>No</v>
      </c>
      <c r="H13">
        <f t="shared" si="1"/>
        <v>0</v>
      </c>
      <c r="I13" s="1">
        <f>IF(COUNTIF('Transaction Data'!A:A,A13)&gt;5,20,0)+IF(COUNTIFS('Transaction Data'!A:A,A13,'Transaction Data'!G:G,"Yes")&gt;2,30,0)</f>
        <v>0</v>
      </c>
      <c r="J13">
        <f>'Client Master Data'!I13+'Client Master Data'!J13+H13+I13</f>
        <v>40</v>
      </c>
    </row>
    <row r="14" spans="1:10">
      <c r="A14">
        <v>1294</v>
      </c>
      <c r="B14" t="s">
        <v>613</v>
      </c>
      <c r="C14" t="s">
        <v>614</v>
      </c>
      <c r="D14">
        <v>301126</v>
      </c>
      <c r="E14" t="s">
        <v>588</v>
      </c>
      <c r="F14" t="s">
        <v>27</v>
      </c>
      <c r="G14" t="str">
        <f t="shared" si="0"/>
        <v>Yes</v>
      </c>
      <c r="H14">
        <f t="shared" si="1"/>
        <v>70</v>
      </c>
      <c r="I14" s="1">
        <f>IF(COUNTIF('Transaction Data'!A:A,A14)&gt;5,20,0)+IF(COUNTIFS('Transaction Data'!A:A,A14,'Transaction Data'!G:G,"Yes")&gt;2,30,0)</f>
        <v>0</v>
      </c>
      <c r="J14">
        <f>'Client Master Data'!I14+'Client Master Data'!J14+H14+I14</f>
        <v>120</v>
      </c>
    </row>
    <row r="15" spans="1:10">
      <c r="A15">
        <v>1171</v>
      </c>
      <c r="B15" t="s">
        <v>615</v>
      </c>
      <c r="C15" t="s">
        <v>616</v>
      </c>
      <c r="D15">
        <v>395761</v>
      </c>
      <c r="E15" t="s">
        <v>588</v>
      </c>
      <c r="F15" t="s">
        <v>17</v>
      </c>
      <c r="G15" t="str">
        <f t="shared" si="0"/>
        <v>Yes</v>
      </c>
      <c r="H15">
        <f t="shared" si="1"/>
        <v>70</v>
      </c>
      <c r="I15" s="1">
        <f>IF(COUNTIF('Transaction Data'!A:A,A15)&gt;5,20,0)+IF(COUNTIFS('Transaction Data'!A:A,A15,'Transaction Data'!G:G,"Yes")&gt;2,30,0)</f>
        <v>30</v>
      </c>
      <c r="J15">
        <f>'Client Master Data'!I15+'Client Master Data'!J15+H15+I15</f>
        <v>150</v>
      </c>
    </row>
    <row r="16" spans="1:10">
      <c r="A16">
        <v>1003</v>
      </c>
      <c r="B16" t="s">
        <v>617</v>
      </c>
      <c r="C16" t="s">
        <v>618</v>
      </c>
      <c r="D16">
        <v>255020</v>
      </c>
      <c r="E16" t="s">
        <v>593</v>
      </c>
      <c r="F16" t="s">
        <v>54</v>
      </c>
      <c r="G16" t="str">
        <f t="shared" si="0"/>
        <v>Yes</v>
      </c>
      <c r="H16">
        <f t="shared" si="1"/>
        <v>70</v>
      </c>
      <c r="I16" s="1">
        <f>IF(COUNTIF('Transaction Data'!A:A,A16)&gt;5,20,0)+IF(COUNTIFS('Transaction Data'!A:A,A16,'Transaction Data'!G:G,"Yes")&gt;2,30,0)</f>
        <v>0</v>
      </c>
      <c r="J16">
        <f>'Client Master Data'!I16+'Client Master Data'!J16+H16+I16</f>
        <v>100</v>
      </c>
    </row>
    <row r="17" spans="1:10">
      <c r="A17">
        <v>1521</v>
      </c>
      <c r="B17" t="s">
        <v>619</v>
      </c>
      <c r="C17" t="s">
        <v>620</v>
      </c>
      <c r="D17">
        <v>193810</v>
      </c>
      <c r="E17" t="s">
        <v>600</v>
      </c>
      <c r="F17" t="s">
        <v>27</v>
      </c>
      <c r="G17" t="str">
        <f t="shared" si="0"/>
        <v>Yes</v>
      </c>
      <c r="H17">
        <f t="shared" si="1"/>
        <v>70</v>
      </c>
      <c r="I17" s="1">
        <f>IF(COUNTIF('Transaction Data'!A:A,A17)&gt;5,20,0)+IF(COUNTIFS('Transaction Data'!A:A,A17,'Transaction Data'!G:G,"Yes")&gt;2,30,0)</f>
        <v>0</v>
      </c>
      <c r="J17">
        <f>'Client Master Data'!I17+'Client Master Data'!J17+H17+I17</f>
        <v>120</v>
      </c>
    </row>
    <row r="18" spans="1:10">
      <c r="A18">
        <v>1370</v>
      </c>
      <c r="B18" t="s">
        <v>621</v>
      </c>
      <c r="C18" t="s">
        <v>608</v>
      </c>
      <c r="D18">
        <v>25281</v>
      </c>
      <c r="E18" t="s">
        <v>588</v>
      </c>
      <c r="F18" t="s">
        <v>11</v>
      </c>
      <c r="G18" t="str">
        <f t="shared" si="0"/>
        <v>No</v>
      </c>
      <c r="H18">
        <f t="shared" si="1"/>
        <v>0</v>
      </c>
      <c r="I18" s="1">
        <f>IF(COUNTIF('Transaction Data'!A:A,A18)&gt;5,20,0)+IF(COUNTIFS('Transaction Data'!A:A,A18,'Transaction Data'!G:G,"Yes")&gt;2,30,0)</f>
        <v>30</v>
      </c>
      <c r="J18">
        <f>'Client Master Data'!I18+'Client Master Data'!J18+H18+I18</f>
        <v>60</v>
      </c>
    </row>
    <row r="19" spans="1:10">
      <c r="A19">
        <v>1105</v>
      </c>
      <c r="B19" t="s">
        <v>622</v>
      </c>
      <c r="C19" t="s">
        <v>623</v>
      </c>
      <c r="D19">
        <v>321658</v>
      </c>
      <c r="E19" t="s">
        <v>600</v>
      </c>
      <c r="F19" t="s">
        <v>11</v>
      </c>
      <c r="G19" t="str">
        <f t="shared" si="0"/>
        <v>Yes</v>
      </c>
      <c r="H19">
        <f t="shared" si="1"/>
        <v>70</v>
      </c>
      <c r="I19" s="1">
        <f>IF(COUNTIF('Transaction Data'!A:A,A19)&gt;5,20,0)+IF(COUNTIFS('Transaction Data'!A:A,A19,'Transaction Data'!G:G,"Yes")&gt;2,30,0)</f>
        <v>0</v>
      </c>
      <c r="J19">
        <f>'Client Master Data'!I19+'Client Master Data'!J19+H19+I19</f>
        <v>100</v>
      </c>
    </row>
    <row r="20" spans="1:10">
      <c r="A20">
        <v>1042</v>
      </c>
      <c r="B20" t="s">
        <v>624</v>
      </c>
      <c r="C20" t="s">
        <v>625</v>
      </c>
      <c r="D20">
        <v>251266</v>
      </c>
      <c r="E20" t="s">
        <v>588</v>
      </c>
      <c r="F20" t="s">
        <v>11</v>
      </c>
      <c r="G20" t="str">
        <f t="shared" si="0"/>
        <v>Yes</v>
      </c>
      <c r="H20">
        <f t="shared" si="1"/>
        <v>70</v>
      </c>
      <c r="I20" s="1">
        <f>IF(COUNTIF('Transaction Data'!A:A,A20)&gt;5,20,0)+IF(COUNTIFS('Transaction Data'!A:A,A20,'Transaction Data'!G:G,"Yes")&gt;2,30,0)</f>
        <v>30</v>
      </c>
      <c r="J20">
        <f>'Client Master Data'!I20+'Client Master Data'!J20+H20+I20</f>
        <v>130</v>
      </c>
    </row>
    <row r="21" spans="1:10">
      <c r="A21">
        <v>1424</v>
      </c>
      <c r="B21" t="s">
        <v>626</v>
      </c>
      <c r="C21" t="s">
        <v>627</v>
      </c>
      <c r="D21">
        <v>263239</v>
      </c>
      <c r="E21" t="s">
        <v>600</v>
      </c>
      <c r="F21" t="s">
        <v>11</v>
      </c>
      <c r="G21" t="str">
        <f t="shared" si="0"/>
        <v>Yes</v>
      </c>
      <c r="H21">
        <f t="shared" si="1"/>
        <v>70</v>
      </c>
      <c r="I21" s="1">
        <f>IF(COUNTIF('Transaction Data'!A:A,A21)&gt;5,20,0)+IF(COUNTIFS('Transaction Data'!A:A,A21,'Transaction Data'!G:G,"Yes")&gt;2,30,0)</f>
        <v>0</v>
      </c>
      <c r="J21">
        <f>'Client Master Data'!I21+'Client Master Data'!J21+H21+I21</f>
        <v>110</v>
      </c>
    </row>
    <row r="22" spans="1:10">
      <c r="A22">
        <v>1341</v>
      </c>
      <c r="B22" t="s">
        <v>628</v>
      </c>
      <c r="C22" t="s">
        <v>629</v>
      </c>
      <c r="D22">
        <v>386595</v>
      </c>
      <c r="E22" t="s">
        <v>600</v>
      </c>
      <c r="F22" t="s">
        <v>39</v>
      </c>
      <c r="G22" t="str">
        <f t="shared" si="0"/>
        <v>Yes</v>
      </c>
      <c r="H22">
        <f t="shared" si="1"/>
        <v>70</v>
      </c>
      <c r="I22" s="1">
        <f>IF(COUNTIF('Transaction Data'!A:A,A22)&gt;5,20,0)+IF(COUNTIFS('Transaction Data'!A:A,A22,'Transaction Data'!G:G,"Yes")&gt;2,30,0)</f>
        <v>30</v>
      </c>
      <c r="J22">
        <f>'Client Master Data'!I22+'Client Master Data'!J22+H22+I22</f>
        <v>130</v>
      </c>
    </row>
    <row r="23" spans="1:10">
      <c r="A23">
        <v>1084</v>
      </c>
      <c r="B23" t="s">
        <v>630</v>
      </c>
      <c r="C23" t="s">
        <v>631</v>
      </c>
      <c r="D23">
        <v>80037</v>
      </c>
      <c r="E23" t="s">
        <v>588</v>
      </c>
      <c r="F23" t="s">
        <v>54</v>
      </c>
      <c r="G23" t="str">
        <f t="shared" si="0"/>
        <v>Yes</v>
      </c>
      <c r="H23">
        <f t="shared" si="1"/>
        <v>40</v>
      </c>
      <c r="I23" s="1">
        <f>IF(COUNTIF('Transaction Data'!A:A,A23)&gt;5,20,0)+IF(COUNTIFS('Transaction Data'!A:A,A23,'Transaction Data'!G:G,"Yes")&gt;2,30,0)</f>
        <v>0</v>
      </c>
      <c r="J23">
        <f>'Client Master Data'!I23+'Client Master Data'!J23+H23+I23</f>
        <v>90</v>
      </c>
    </row>
    <row r="24" spans="1:10">
      <c r="A24">
        <v>1437</v>
      </c>
      <c r="B24" t="s">
        <v>632</v>
      </c>
      <c r="C24" t="s">
        <v>633</v>
      </c>
      <c r="D24">
        <v>18153</v>
      </c>
      <c r="E24" t="s">
        <v>600</v>
      </c>
      <c r="F24" t="s">
        <v>23</v>
      </c>
      <c r="G24" t="str">
        <f t="shared" si="0"/>
        <v>No</v>
      </c>
      <c r="H24">
        <f t="shared" si="1"/>
        <v>0</v>
      </c>
      <c r="I24" s="1">
        <f>IF(COUNTIF('Transaction Data'!A:A,A24)&gt;5,20,0)+IF(COUNTIFS('Transaction Data'!A:A,A24,'Transaction Data'!G:G,"Yes")&gt;2,30,0)</f>
        <v>0</v>
      </c>
      <c r="J24">
        <f>'Client Master Data'!I24+'Client Master Data'!J24+H24+I24</f>
        <v>50</v>
      </c>
    </row>
    <row r="25" spans="1:10">
      <c r="A25">
        <v>1094</v>
      </c>
      <c r="B25" t="s">
        <v>634</v>
      </c>
      <c r="C25" t="s">
        <v>635</v>
      </c>
      <c r="D25">
        <v>369786</v>
      </c>
      <c r="E25" t="s">
        <v>593</v>
      </c>
      <c r="F25" t="s">
        <v>54</v>
      </c>
      <c r="G25" t="str">
        <f t="shared" si="0"/>
        <v>Yes</v>
      </c>
      <c r="H25">
        <f t="shared" si="1"/>
        <v>70</v>
      </c>
      <c r="I25" s="1">
        <f>IF(COUNTIF('Transaction Data'!A:A,A25)&gt;5,20,0)+IF(COUNTIFS('Transaction Data'!A:A,A25,'Transaction Data'!G:G,"Yes")&gt;2,30,0)</f>
        <v>0</v>
      </c>
      <c r="J25">
        <f>'Client Master Data'!I25+'Client Master Data'!J25+H25+I25</f>
        <v>90</v>
      </c>
    </row>
    <row r="26" spans="1:10">
      <c r="A26">
        <v>1225</v>
      </c>
      <c r="B26" t="s">
        <v>636</v>
      </c>
      <c r="C26" t="s">
        <v>620</v>
      </c>
      <c r="D26">
        <v>163354</v>
      </c>
      <c r="E26" t="s">
        <v>588</v>
      </c>
      <c r="F26" t="s">
        <v>54</v>
      </c>
      <c r="G26" t="str">
        <f t="shared" si="0"/>
        <v>Yes</v>
      </c>
      <c r="H26">
        <f t="shared" si="1"/>
        <v>70</v>
      </c>
      <c r="I26" s="1">
        <f>IF(COUNTIF('Transaction Data'!A:A,A26)&gt;5,20,0)+IF(COUNTIFS('Transaction Data'!A:A,A26,'Transaction Data'!G:G,"Yes")&gt;2,30,0)</f>
        <v>30</v>
      </c>
      <c r="J26">
        <f>'Client Master Data'!I26+'Client Master Data'!J26+H26+I26</f>
        <v>150</v>
      </c>
    </row>
    <row r="27" spans="1:10">
      <c r="A27">
        <v>1037</v>
      </c>
      <c r="B27" t="s">
        <v>637</v>
      </c>
      <c r="C27" t="s">
        <v>638</v>
      </c>
      <c r="D27">
        <v>123562</v>
      </c>
      <c r="E27" t="s">
        <v>593</v>
      </c>
      <c r="F27" t="s">
        <v>54</v>
      </c>
      <c r="G27" t="str">
        <f t="shared" si="0"/>
        <v>Yes</v>
      </c>
      <c r="H27">
        <f t="shared" si="1"/>
        <v>70</v>
      </c>
      <c r="I27" s="1">
        <f>IF(COUNTIF('Transaction Data'!A:A,A27)&gt;5,20,0)+IF(COUNTIFS('Transaction Data'!A:A,A27,'Transaction Data'!G:G,"Yes")&gt;2,30,0)</f>
        <v>0</v>
      </c>
      <c r="J27">
        <f>'Client Master Data'!I27+'Client Master Data'!J27+H27+I27</f>
        <v>90</v>
      </c>
    </row>
    <row r="28" spans="1:10">
      <c r="A28">
        <v>1262</v>
      </c>
      <c r="B28" t="s">
        <v>639</v>
      </c>
      <c r="C28" t="s">
        <v>640</v>
      </c>
      <c r="D28">
        <v>344222</v>
      </c>
      <c r="E28" t="s">
        <v>593</v>
      </c>
      <c r="F28" t="s">
        <v>17</v>
      </c>
      <c r="G28" t="str">
        <f t="shared" si="0"/>
        <v>Yes</v>
      </c>
      <c r="H28">
        <f t="shared" si="1"/>
        <v>70</v>
      </c>
      <c r="I28" s="1">
        <f>IF(COUNTIF('Transaction Data'!A:A,A28)&gt;5,20,0)+IF(COUNTIFS('Transaction Data'!A:A,A28,'Transaction Data'!G:G,"Yes")&gt;2,30,0)</f>
        <v>30</v>
      </c>
      <c r="J28">
        <f>'Client Master Data'!I28+'Client Master Data'!J28+H28+I28</f>
        <v>170</v>
      </c>
    </row>
    <row r="29" spans="1:10">
      <c r="A29">
        <v>1449</v>
      </c>
      <c r="B29" t="s">
        <v>641</v>
      </c>
      <c r="C29" t="s">
        <v>642</v>
      </c>
      <c r="D29">
        <v>239846</v>
      </c>
      <c r="E29" t="s">
        <v>593</v>
      </c>
      <c r="F29" t="s">
        <v>39</v>
      </c>
      <c r="G29" t="str">
        <f t="shared" si="0"/>
        <v>Yes</v>
      </c>
      <c r="H29">
        <f t="shared" si="1"/>
        <v>70</v>
      </c>
      <c r="I29" s="1">
        <f>IF(COUNTIF('Transaction Data'!A:A,A29)&gt;5,20,0)+IF(COUNTIFS('Transaction Data'!A:A,A29,'Transaction Data'!G:G,"Yes")&gt;2,30,0)</f>
        <v>0</v>
      </c>
      <c r="J29">
        <f>'Client Master Data'!I29+'Client Master Data'!J29+H29+I29</f>
        <v>110</v>
      </c>
    </row>
    <row r="30" spans="1:10">
      <c r="A30">
        <v>1082</v>
      </c>
      <c r="B30" t="s">
        <v>643</v>
      </c>
      <c r="C30" t="s">
        <v>644</v>
      </c>
      <c r="D30">
        <v>375434</v>
      </c>
      <c r="E30" t="s">
        <v>600</v>
      </c>
      <c r="F30" t="s">
        <v>39</v>
      </c>
      <c r="G30" t="str">
        <f t="shared" si="0"/>
        <v>Yes</v>
      </c>
      <c r="H30">
        <f t="shared" si="1"/>
        <v>70</v>
      </c>
      <c r="I30" s="1">
        <f>IF(COUNTIF('Transaction Data'!A:A,A30)&gt;5,20,0)+IF(COUNTIFS('Transaction Data'!A:A,A30,'Transaction Data'!G:G,"Yes")&gt;2,30,0)</f>
        <v>0</v>
      </c>
      <c r="J30">
        <f>'Client Master Data'!I30+'Client Master Data'!J30+H30+I30</f>
        <v>100</v>
      </c>
    </row>
    <row r="31" spans="1:10">
      <c r="A31">
        <v>1493</v>
      </c>
      <c r="B31" t="s">
        <v>645</v>
      </c>
      <c r="C31" t="s">
        <v>646</v>
      </c>
      <c r="D31">
        <v>328541</v>
      </c>
      <c r="E31" t="s">
        <v>600</v>
      </c>
      <c r="F31" t="s">
        <v>17</v>
      </c>
      <c r="G31" t="str">
        <f t="shared" si="0"/>
        <v>Yes</v>
      </c>
      <c r="H31">
        <f t="shared" si="1"/>
        <v>70</v>
      </c>
      <c r="I31" s="1">
        <f>IF(COUNTIF('Transaction Data'!A:A,A31)&gt;5,20,0)+IF(COUNTIFS('Transaction Data'!A:A,A31,'Transaction Data'!G:G,"Yes")&gt;2,30,0)</f>
        <v>30</v>
      </c>
      <c r="J31">
        <f>'Client Master Data'!I31+'Client Master Data'!J31+H31+I31</f>
        <v>170</v>
      </c>
    </row>
    <row r="32" spans="1:10">
      <c r="A32">
        <v>1078</v>
      </c>
      <c r="B32" t="s">
        <v>647</v>
      </c>
      <c r="C32" t="s">
        <v>648</v>
      </c>
      <c r="D32">
        <v>54017</v>
      </c>
      <c r="E32" t="s">
        <v>588</v>
      </c>
      <c r="F32" t="s">
        <v>54</v>
      </c>
      <c r="G32" t="str">
        <f t="shared" si="0"/>
        <v>Yes</v>
      </c>
      <c r="H32">
        <f t="shared" si="1"/>
        <v>40</v>
      </c>
      <c r="I32" s="1">
        <f>IF(COUNTIF('Transaction Data'!A:A,A32)&gt;5,20,0)+IF(COUNTIFS('Transaction Data'!A:A,A32,'Transaction Data'!G:G,"Yes")&gt;2,30,0)</f>
        <v>0</v>
      </c>
      <c r="J32">
        <f>'Client Master Data'!I32+'Client Master Data'!J32+H32+I32</f>
        <v>90</v>
      </c>
    </row>
    <row r="33" spans="1:10">
      <c r="A33">
        <v>1156</v>
      </c>
      <c r="B33" t="s">
        <v>649</v>
      </c>
      <c r="C33" t="s">
        <v>650</v>
      </c>
      <c r="D33">
        <v>121334</v>
      </c>
      <c r="E33" t="s">
        <v>600</v>
      </c>
      <c r="F33" t="s">
        <v>39</v>
      </c>
      <c r="G33" t="str">
        <f t="shared" si="0"/>
        <v>Yes</v>
      </c>
      <c r="H33">
        <f t="shared" si="1"/>
        <v>70</v>
      </c>
      <c r="I33" s="1">
        <f>IF(COUNTIF('Transaction Data'!A:A,A33)&gt;5,20,0)+IF(COUNTIFS('Transaction Data'!A:A,A33,'Transaction Data'!G:G,"Yes")&gt;2,30,0)</f>
        <v>30</v>
      </c>
      <c r="J33">
        <f>'Client Master Data'!I33+'Client Master Data'!J33+H33+I33</f>
        <v>150</v>
      </c>
    </row>
    <row r="34" spans="1:10">
      <c r="A34">
        <v>1222</v>
      </c>
      <c r="B34" t="s">
        <v>651</v>
      </c>
      <c r="C34" t="s">
        <v>652</v>
      </c>
      <c r="D34">
        <v>86823</v>
      </c>
      <c r="E34" t="s">
        <v>588</v>
      </c>
      <c r="F34" t="s">
        <v>39</v>
      </c>
      <c r="G34" t="str">
        <f t="shared" si="0"/>
        <v>No</v>
      </c>
      <c r="H34">
        <f t="shared" si="1"/>
        <v>0</v>
      </c>
      <c r="I34" s="1">
        <f>IF(COUNTIF('Transaction Data'!A:A,A34)&gt;5,20,0)+IF(COUNTIFS('Transaction Data'!A:A,A34,'Transaction Data'!G:G,"Yes")&gt;2,30,0)</f>
        <v>0</v>
      </c>
      <c r="J34">
        <f>'Client Master Data'!I34+'Client Master Data'!J34+H34+I34</f>
        <v>50</v>
      </c>
    </row>
    <row r="35" spans="1:10">
      <c r="A35">
        <v>1457</v>
      </c>
      <c r="B35" t="s">
        <v>653</v>
      </c>
      <c r="C35" t="s">
        <v>654</v>
      </c>
      <c r="D35">
        <v>334434</v>
      </c>
      <c r="E35" t="s">
        <v>600</v>
      </c>
      <c r="F35" t="s">
        <v>54</v>
      </c>
      <c r="G35" t="str">
        <f t="shared" si="0"/>
        <v>Yes</v>
      </c>
      <c r="H35">
        <f t="shared" si="1"/>
        <v>70</v>
      </c>
      <c r="I35" s="1">
        <f>IF(COUNTIF('Transaction Data'!A:A,A35)&gt;5,20,0)+IF(COUNTIFS('Transaction Data'!A:A,A35,'Transaction Data'!G:G,"Yes")&gt;2,30,0)</f>
        <v>0</v>
      </c>
      <c r="J35">
        <f>'Client Master Data'!I35+'Client Master Data'!J35+H35+I35</f>
        <v>120</v>
      </c>
    </row>
    <row r="36" spans="1:10">
      <c r="A36">
        <v>1479</v>
      </c>
      <c r="B36" t="s">
        <v>655</v>
      </c>
      <c r="C36" t="s">
        <v>656</v>
      </c>
      <c r="D36">
        <v>116415</v>
      </c>
      <c r="E36" t="s">
        <v>588</v>
      </c>
      <c r="F36" t="s">
        <v>54</v>
      </c>
      <c r="G36" t="str">
        <f t="shared" si="0"/>
        <v>Yes</v>
      </c>
      <c r="H36">
        <f t="shared" si="1"/>
        <v>70</v>
      </c>
      <c r="I36" s="1">
        <f>IF(COUNTIF('Transaction Data'!A:A,A36)&gt;5,20,0)+IF(COUNTIFS('Transaction Data'!A:A,A36,'Transaction Data'!G:G,"Yes")&gt;2,30,0)</f>
        <v>0</v>
      </c>
      <c r="J36">
        <f>'Client Master Data'!I36+'Client Master Data'!J36+H36+I36</f>
        <v>120</v>
      </c>
    </row>
    <row r="37" spans="1:10">
      <c r="A37">
        <v>1178</v>
      </c>
      <c r="B37" t="s">
        <v>657</v>
      </c>
      <c r="C37" t="s">
        <v>658</v>
      </c>
      <c r="D37">
        <v>201318</v>
      </c>
      <c r="E37" t="s">
        <v>593</v>
      </c>
      <c r="F37" t="s">
        <v>27</v>
      </c>
      <c r="G37" t="str">
        <f t="shared" si="0"/>
        <v>Yes</v>
      </c>
      <c r="H37">
        <f t="shared" si="1"/>
        <v>70</v>
      </c>
      <c r="I37" s="1">
        <f>IF(COUNTIF('Transaction Data'!A:A,A37)&gt;5,20,0)+IF(COUNTIFS('Transaction Data'!A:A,A37,'Transaction Data'!G:G,"Yes")&gt;2,30,0)</f>
        <v>0</v>
      </c>
      <c r="J37">
        <f>'Client Master Data'!I37+'Client Master Data'!J37+H37+I37</f>
        <v>100</v>
      </c>
    </row>
    <row r="38" spans="1:10">
      <c r="A38">
        <v>1211</v>
      </c>
      <c r="B38" t="s">
        <v>659</v>
      </c>
      <c r="C38" t="s">
        <v>660</v>
      </c>
      <c r="D38">
        <v>93891</v>
      </c>
      <c r="E38" t="s">
        <v>593</v>
      </c>
      <c r="F38" t="s">
        <v>39</v>
      </c>
      <c r="G38" t="str">
        <f t="shared" si="0"/>
        <v>No</v>
      </c>
      <c r="H38">
        <f t="shared" si="1"/>
        <v>0</v>
      </c>
      <c r="I38" s="1">
        <f>IF(COUNTIF('Transaction Data'!A:A,A38)&gt;5,20,0)+IF(COUNTIFS('Transaction Data'!A:A,A38,'Transaction Data'!G:G,"Yes")&gt;2,30,0)</f>
        <v>30</v>
      </c>
      <c r="J38">
        <f>'Client Master Data'!I38+'Client Master Data'!J38+H38+I38</f>
        <v>100</v>
      </c>
    </row>
    <row r="39" spans="1:10">
      <c r="A39">
        <v>1076</v>
      </c>
      <c r="B39" t="s">
        <v>661</v>
      </c>
      <c r="C39" t="s">
        <v>633</v>
      </c>
      <c r="D39">
        <v>298966</v>
      </c>
      <c r="E39" t="s">
        <v>588</v>
      </c>
      <c r="F39" t="s">
        <v>23</v>
      </c>
      <c r="G39" t="str">
        <f t="shared" si="0"/>
        <v>Yes</v>
      </c>
      <c r="H39">
        <f t="shared" si="1"/>
        <v>70</v>
      </c>
      <c r="I39" s="1">
        <f>IF(COUNTIF('Transaction Data'!A:A,A39)&gt;5,20,0)+IF(COUNTIFS('Transaction Data'!A:A,A39,'Transaction Data'!G:G,"Yes")&gt;2,30,0)</f>
        <v>30</v>
      </c>
      <c r="J39">
        <f>'Client Master Data'!I39+'Client Master Data'!J39+H39+I39</f>
        <v>170</v>
      </c>
    </row>
    <row r="40" spans="1:10">
      <c r="A40">
        <v>1475</v>
      </c>
      <c r="B40" t="s">
        <v>662</v>
      </c>
      <c r="C40" t="s">
        <v>663</v>
      </c>
      <c r="D40">
        <v>475340</v>
      </c>
      <c r="E40" t="s">
        <v>588</v>
      </c>
      <c r="F40" t="s">
        <v>17</v>
      </c>
      <c r="G40" t="str">
        <f t="shared" si="0"/>
        <v>Yes</v>
      </c>
      <c r="H40">
        <f t="shared" si="1"/>
        <v>70</v>
      </c>
      <c r="I40" s="1">
        <f>IF(COUNTIF('Transaction Data'!A:A,A40)&gt;5,20,0)+IF(COUNTIFS('Transaction Data'!A:A,A40,'Transaction Data'!G:G,"Yes")&gt;2,30,0)</f>
        <v>30</v>
      </c>
      <c r="J40">
        <f>'Client Master Data'!I40+'Client Master Data'!J40+H40+I40</f>
        <v>160</v>
      </c>
    </row>
    <row r="41" spans="1:10">
      <c r="A41">
        <v>1249</v>
      </c>
      <c r="B41" t="s">
        <v>664</v>
      </c>
      <c r="C41" t="s">
        <v>602</v>
      </c>
      <c r="D41">
        <v>49581</v>
      </c>
      <c r="E41" t="s">
        <v>600</v>
      </c>
      <c r="F41" t="s">
        <v>11</v>
      </c>
      <c r="G41" t="str">
        <f t="shared" si="0"/>
        <v>No</v>
      </c>
      <c r="H41">
        <f t="shared" si="1"/>
        <v>0</v>
      </c>
      <c r="I41" s="1">
        <f>IF(COUNTIF('Transaction Data'!A:A,A41)&gt;5,20,0)+IF(COUNTIFS('Transaction Data'!A:A,A41,'Transaction Data'!G:G,"Yes")&gt;2,30,0)</f>
        <v>0</v>
      </c>
      <c r="J41">
        <f>'Client Master Data'!I41+'Client Master Data'!J41+H41+I41</f>
        <v>70</v>
      </c>
    </row>
    <row r="42" spans="1:10">
      <c r="A42">
        <v>1350</v>
      </c>
      <c r="B42" t="s">
        <v>665</v>
      </c>
      <c r="C42" t="s">
        <v>666</v>
      </c>
      <c r="D42">
        <v>35530</v>
      </c>
      <c r="E42" t="s">
        <v>600</v>
      </c>
      <c r="F42" t="s">
        <v>11</v>
      </c>
      <c r="G42" t="str">
        <f t="shared" si="0"/>
        <v>No</v>
      </c>
      <c r="H42">
        <f t="shared" si="1"/>
        <v>0</v>
      </c>
      <c r="I42" s="1">
        <f>IF(COUNTIF('Transaction Data'!A:A,A42)&gt;5,20,0)+IF(COUNTIFS('Transaction Data'!A:A,A42,'Transaction Data'!G:G,"Yes")&gt;2,30,0)</f>
        <v>0</v>
      </c>
      <c r="J42">
        <f>'Client Master Data'!I42+'Client Master Data'!J42+H42+I42</f>
        <v>60</v>
      </c>
    </row>
    <row r="43" spans="1:10">
      <c r="A43">
        <v>1163</v>
      </c>
      <c r="B43" t="s">
        <v>667</v>
      </c>
      <c r="C43" t="s">
        <v>595</v>
      </c>
      <c r="D43">
        <v>440222</v>
      </c>
      <c r="E43" t="s">
        <v>593</v>
      </c>
      <c r="F43" t="s">
        <v>23</v>
      </c>
      <c r="G43" t="str">
        <f t="shared" si="0"/>
        <v>Yes</v>
      </c>
      <c r="H43">
        <f t="shared" si="1"/>
        <v>70</v>
      </c>
      <c r="I43" s="1">
        <f>IF(COUNTIF('Transaction Data'!A:A,A43)&gt;5,20,0)+IF(COUNTIFS('Transaction Data'!A:A,A43,'Transaction Data'!G:G,"Yes")&gt;2,30,0)</f>
        <v>0</v>
      </c>
      <c r="J43">
        <f>'Client Master Data'!I43+'Client Master Data'!J43+H43+I43</f>
        <v>130</v>
      </c>
    </row>
    <row r="44" spans="1:10">
      <c r="A44">
        <v>1347</v>
      </c>
      <c r="B44" t="s">
        <v>668</v>
      </c>
      <c r="C44" t="s">
        <v>669</v>
      </c>
      <c r="D44">
        <v>148287</v>
      </c>
      <c r="E44" t="s">
        <v>600</v>
      </c>
      <c r="F44" t="s">
        <v>17</v>
      </c>
      <c r="G44" t="str">
        <f t="shared" si="0"/>
        <v>Yes</v>
      </c>
      <c r="H44">
        <f t="shared" si="1"/>
        <v>70</v>
      </c>
      <c r="I44" s="1">
        <f>IF(COUNTIF('Transaction Data'!A:A,A44)&gt;5,20,0)+IF(COUNTIFS('Transaction Data'!A:A,A44,'Transaction Data'!G:G,"Yes")&gt;2,30,0)</f>
        <v>0</v>
      </c>
      <c r="J44">
        <f>'Client Master Data'!I44+'Client Master Data'!J44+H44+I44</f>
        <v>120</v>
      </c>
    </row>
    <row r="45" spans="1:10">
      <c r="A45">
        <v>1184</v>
      </c>
      <c r="B45" t="s">
        <v>670</v>
      </c>
      <c r="C45" t="s">
        <v>671</v>
      </c>
      <c r="D45">
        <v>363601</v>
      </c>
      <c r="E45" t="s">
        <v>593</v>
      </c>
      <c r="F45" t="s">
        <v>54</v>
      </c>
      <c r="G45" t="str">
        <f t="shared" si="0"/>
        <v>Yes</v>
      </c>
      <c r="H45">
        <f t="shared" si="1"/>
        <v>70</v>
      </c>
      <c r="I45" s="1">
        <f>IF(COUNTIF('Transaction Data'!A:A,A45)&gt;5,20,0)+IF(COUNTIFS('Transaction Data'!A:A,A45,'Transaction Data'!G:G,"Yes")&gt;2,30,0)</f>
        <v>0</v>
      </c>
      <c r="J45">
        <f>'Client Master Data'!I45+'Client Master Data'!J45+H45+I45</f>
        <v>140</v>
      </c>
    </row>
    <row r="46" spans="1:10">
      <c r="A46">
        <v>1536</v>
      </c>
      <c r="B46" t="s">
        <v>672</v>
      </c>
      <c r="C46" t="s">
        <v>673</v>
      </c>
      <c r="D46">
        <v>483002</v>
      </c>
      <c r="E46" t="s">
        <v>600</v>
      </c>
      <c r="F46" t="s">
        <v>39</v>
      </c>
      <c r="G46" t="str">
        <f t="shared" si="0"/>
        <v>Yes</v>
      </c>
      <c r="H46">
        <f t="shared" si="1"/>
        <v>70</v>
      </c>
      <c r="I46" s="1">
        <f>IF(COUNTIF('Transaction Data'!A:A,A46)&gt;5,20,0)+IF(COUNTIFS('Transaction Data'!A:A,A46,'Transaction Data'!G:G,"Yes")&gt;2,30,0)</f>
        <v>0</v>
      </c>
      <c r="J46">
        <f>'Client Master Data'!I46+'Client Master Data'!J46+H46+I46</f>
        <v>90</v>
      </c>
    </row>
    <row r="47" spans="1:10">
      <c r="A47">
        <v>1430</v>
      </c>
      <c r="B47" t="s">
        <v>674</v>
      </c>
      <c r="C47" t="s">
        <v>654</v>
      </c>
      <c r="D47">
        <v>347773</v>
      </c>
      <c r="E47" t="s">
        <v>600</v>
      </c>
      <c r="F47" t="s">
        <v>54</v>
      </c>
      <c r="G47" t="str">
        <f t="shared" si="0"/>
        <v>Yes</v>
      </c>
      <c r="H47">
        <f t="shared" si="1"/>
        <v>70</v>
      </c>
      <c r="I47" s="1">
        <f>IF(COUNTIF('Transaction Data'!A:A,A47)&gt;5,20,0)+IF(COUNTIFS('Transaction Data'!A:A,A47,'Transaction Data'!G:G,"Yes")&gt;2,30,0)</f>
        <v>30</v>
      </c>
      <c r="J47">
        <f>'Client Master Data'!I47+'Client Master Data'!J47+H47+I47</f>
        <v>140</v>
      </c>
    </row>
    <row r="48" spans="1:10">
      <c r="A48">
        <v>1164</v>
      </c>
      <c r="B48" t="s">
        <v>675</v>
      </c>
      <c r="C48" t="s">
        <v>676</v>
      </c>
      <c r="D48">
        <v>314668</v>
      </c>
      <c r="E48" t="s">
        <v>600</v>
      </c>
      <c r="F48" t="s">
        <v>11</v>
      </c>
      <c r="G48" t="str">
        <f t="shared" si="0"/>
        <v>Yes</v>
      </c>
      <c r="H48">
        <f t="shared" si="1"/>
        <v>70</v>
      </c>
      <c r="I48" s="1">
        <f>IF(COUNTIF('Transaction Data'!A:A,A48)&gt;5,20,0)+IF(COUNTIFS('Transaction Data'!A:A,A48,'Transaction Data'!G:G,"Yes")&gt;2,30,0)</f>
        <v>0</v>
      </c>
      <c r="J48">
        <f>'Client Master Data'!I48+'Client Master Data'!J48+H48+I48</f>
        <v>100</v>
      </c>
    </row>
    <row r="49" spans="1:10">
      <c r="A49">
        <v>1376</v>
      </c>
      <c r="B49" t="s">
        <v>677</v>
      </c>
      <c r="C49" t="s">
        <v>678</v>
      </c>
      <c r="D49">
        <v>48719</v>
      </c>
      <c r="E49" t="s">
        <v>600</v>
      </c>
      <c r="F49" t="s">
        <v>11</v>
      </c>
      <c r="G49" t="str">
        <f t="shared" si="0"/>
        <v>No</v>
      </c>
      <c r="H49">
        <f t="shared" si="1"/>
        <v>0</v>
      </c>
      <c r="I49" s="1">
        <f>IF(COUNTIF('Transaction Data'!A:A,A49)&gt;5,20,0)+IF(COUNTIFS('Transaction Data'!A:A,A49,'Transaction Data'!G:G,"Yes")&gt;2,30,0)</f>
        <v>50</v>
      </c>
      <c r="J49">
        <f>'Client Master Data'!I49+'Client Master Data'!J49+H49+I49</f>
        <v>100</v>
      </c>
    </row>
    <row r="50" spans="1:10">
      <c r="A50">
        <v>1250</v>
      </c>
      <c r="B50" t="s">
        <v>679</v>
      </c>
      <c r="C50" t="s">
        <v>680</v>
      </c>
      <c r="D50">
        <v>426136</v>
      </c>
      <c r="E50" t="s">
        <v>600</v>
      </c>
      <c r="F50" t="s">
        <v>27</v>
      </c>
      <c r="G50" t="str">
        <f t="shared" si="0"/>
        <v>Yes</v>
      </c>
      <c r="H50">
        <f t="shared" si="1"/>
        <v>70</v>
      </c>
      <c r="I50" s="1">
        <f>IF(COUNTIF('Transaction Data'!A:A,A50)&gt;5,20,0)+IF(COUNTIFS('Transaction Data'!A:A,A50,'Transaction Data'!G:G,"Yes")&gt;2,30,0)</f>
        <v>30</v>
      </c>
      <c r="J50">
        <f>'Client Master Data'!I50+'Client Master Data'!J50+H50+I50</f>
        <v>140</v>
      </c>
    </row>
    <row r="51" spans="1:10">
      <c r="A51">
        <v>1090</v>
      </c>
      <c r="B51" t="s">
        <v>681</v>
      </c>
      <c r="C51" t="s">
        <v>682</v>
      </c>
      <c r="D51">
        <v>195160</v>
      </c>
      <c r="E51" t="s">
        <v>588</v>
      </c>
      <c r="F51" t="s">
        <v>17</v>
      </c>
      <c r="G51" t="str">
        <f t="shared" si="0"/>
        <v>Yes</v>
      </c>
      <c r="H51">
        <f t="shared" si="1"/>
        <v>70</v>
      </c>
      <c r="I51" s="1">
        <f>IF(COUNTIF('Transaction Data'!A:A,A51)&gt;5,20,0)+IF(COUNTIFS('Transaction Data'!A:A,A51,'Transaction Data'!G:G,"Yes")&gt;2,30,0)</f>
        <v>30</v>
      </c>
      <c r="J51">
        <f>'Client Master Data'!I51+'Client Master Data'!J51+H51+I51</f>
        <v>150</v>
      </c>
    </row>
    <row r="52" spans="1:10">
      <c r="A52">
        <v>1424</v>
      </c>
      <c r="B52" t="s">
        <v>683</v>
      </c>
      <c r="C52" t="s">
        <v>631</v>
      </c>
      <c r="D52">
        <v>429075</v>
      </c>
      <c r="E52" t="s">
        <v>600</v>
      </c>
      <c r="F52" t="s">
        <v>17</v>
      </c>
      <c r="G52" t="str">
        <f t="shared" si="0"/>
        <v>Yes</v>
      </c>
      <c r="H52">
        <f t="shared" si="1"/>
        <v>70</v>
      </c>
      <c r="I52" s="1">
        <f>IF(COUNTIF('Transaction Data'!A:A,A52)&gt;5,20,0)+IF(COUNTIFS('Transaction Data'!A:A,A52,'Transaction Data'!G:G,"Yes")&gt;2,30,0)</f>
        <v>0</v>
      </c>
      <c r="J52">
        <f>'Client Master Data'!I52+'Client Master Data'!J52+H52+I52</f>
        <v>120</v>
      </c>
    </row>
    <row r="53" spans="1:10">
      <c r="A53">
        <v>1211</v>
      </c>
      <c r="B53" t="s">
        <v>684</v>
      </c>
      <c r="C53" t="s">
        <v>685</v>
      </c>
      <c r="D53">
        <v>333903</v>
      </c>
      <c r="E53" t="s">
        <v>588</v>
      </c>
      <c r="F53" t="s">
        <v>23</v>
      </c>
      <c r="G53" t="str">
        <f t="shared" si="0"/>
        <v>Yes</v>
      </c>
      <c r="H53">
        <f t="shared" si="1"/>
        <v>70</v>
      </c>
      <c r="I53" s="1">
        <f>IF(COUNTIF('Transaction Data'!A:A,A53)&gt;5,20,0)+IF(COUNTIFS('Transaction Data'!A:A,A53,'Transaction Data'!G:G,"Yes")&gt;2,30,0)</f>
        <v>30</v>
      </c>
      <c r="J53">
        <f>'Client Master Data'!I53+'Client Master Data'!J53+H53+I53</f>
        <v>150</v>
      </c>
    </row>
    <row r="54" spans="1:10">
      <c r="A54">
        <v>1169</v>
      </c>
      <c r="B54" t="s">
        <v>686</v>
      </c>
      <c r="C54" t="s">
        <v>687</v>
      </c>
      <c r="D54">
        <v>98071</v>
      </c>
      <c r="E54" t="s">
        <v>600</v>
      </c>
      <c r="F54" t="s">
        <v>39</v>
      </c>
      <c r="G54" t="str">
        <f t="shared" si="0"/>
        <v>No</v>
      </c>
      <c r="H54">
        <f t="shared" si="1"/>
        <v>0</v>
      </c>
      <c r="I54" s="1">
        <f>IF(COUNTIF('Transaction Data'!A:A,A54)&gt;5,20,0)+IF(COUNTIFS('Transaction Data'!A:A,A54,'Transaction Data'!G:G,"Yes")&gt;2,30,0)</f>
        <v>0</v>
      </c>
      <c r="J54">
        <f>'Client Master Data'!I54+'Client Master Data'!J54+H54+I54</f>
        <v>70</v>
      </c>
    </row>
    <row r="55" spans="1:10">
      <c r="A55">
        <v>1285</v>
      </c>
      <c r="B55" t="s">
        <v>688</v>
      </c>
      <c r="C55" t="s">
        <v>638</v>
      </c>
      <c r="D55">
        <v>419818</v>
      </c>
      <c r="E55" t="s">
        <v>600</v>
      </c>
      <c r="F55" t="s">
        <v>11</v>
      </c>
      <c r="G55" t="str">
        <f t="shared" si="0"/>
        <v>Yes</v>
      </c>
      <c r="H55">
        <f t="shared" si="1"/>
        <v>70</v>
      </c>
      <c r="I55" s="1">
        <f>IF(COUNTIF('Transaction Data'!A:A,A55)&gt;5,20,0)+IF(COUNTIFS('Transaction Data'!A:A,A55,'Transaction Data'!G:G,"Yes")&gt;2,30,0)</f>
        <v>0</v>
      </c>
      <c r="J55">
        <f>'Client Master Data'!I55+'Client Master Data'!J55+H55+I55</f>
        <v>120</v>
      </c>
    </row>
    <row r="56" spans="1:10">
      <c r="A56">
        <v>1081</v>
      </c>
      <c r="B56" t="s">
        <v>689</v>
      </c>
      <c r="C56" t="s">
        <v>690</v>
      </c>
      <c r="D56">
        <v>391481</v>
      </c>
      <c r="E56" t="s">
        <v>600</v>
      </c>
      <c r="F56" t="s">
        <v>23</v>
      </c>
      <c r="G56" t="str">
        <f t="shared" si="0"/>
        <v>Yes</v>
      </c>
      <c r="H56">
        <f t="shared" si="1"/>
        <v>70</v>
      </c>
      <c r="I56" s="1">
        <f>IF(COUNTIF('Transaction Data'!A:A,A56)&gt;5,20,0)+IF(COUNTIFS('Transaction Data'!A:A,A56,'Transaction Data'!G:G,"Yes")&gt;2,30,0)</f>
        <v>0</v>
      </c>
      <c r="J56">
        <f>'Client Master Data'!I56+'Client Master Data'!J56+H56+I56</f>
        <v>120</v>
      </c>
    </row>
    <row r="57" spans="1:10">
      <c r="A57">
        <v>1389</v>
      </c>
      <c r="B57" t="s">
        <v>691</v>
      </c>
      <c r="C57" t="s">
        <v>692</v>
      </c>
      <c r="D57">
        <v>252598</v>
      </c>
      <c r="E57" t="s">
        <v>593</v>
      </c>
      <c r="F57" t="s">
        <v>39</v>
      </c>
      <c r="G57" t="str">
        <f t="shared" si="0"/>
        <v>Yes</v>
      </c>
      <c r="H57">
        <f t="shared" si="1"/>
        <v>70</v>
      </c>
      <c r="I57" s="1">
        <f>IF(COUNTIF('Transaction Data'!A:A,A57)&gt;5,20,0)+IF(COUNTIFS('Transaction Data'!A:A,A57,'Transaction Data'!G:G,"Yes")&gt;2,30,0)</f>
        <v>0</v>
      </c>
      <c r="J57">
        <f>'Client Master Data'!I57+'Client Master Data'!J57+H57+I57</f>
        <v>120</v>
      </c>
    </row>
    <row r="58" spans="1:10">
      <c r="A58">
        <v>1257</v>
      </c>
      <c r="B58" t="s">
        <v>693</v>
      </c>
      <c r="C58" t="s">
        <v>694</v>
      </c>
      <c r="D58">
        <v>75076</v>
      </c>
      <c r="E58" t="s">
        <v>593</v>
      </c>
      <c r="F58" t="s">
        <v>39</v>
      </c>
      <c r="G58" t="str">
        <f t="shared" si="0"/>
        <v>No</v>
      </c>
      <c r="H58">
        <f t="shared" si="1"/>
        <v>0</v>
      </c>
      <c r="I58" s="1">
        <f>IF(COUNTIF('Transaction Data'!A:A,A58)&gt;5,20,0)+IF(COUNTIFS('Transaction Data'!A:A,A58,'Transaction Data'!G:G,"Yes")&gt;2,30,0)</f>
        <v>30</v>
      </c>
      <c r="J58">
        <f>'Client Master Data'!I58+'Client Master Data'!J58+H58+I58</f>
        <v>80</v>
      </c>
    </row>
    <row r="59" spans="1:10">
      <c r="A59">
        <v>1502</v>
      </c>
      <c r="B59" t="s">
        <v>695</v>
      </c>
      <c r="C59" t="s">
        <v>696</v>
      </c>
      <c r="D59">
        <v>148430</v>
      </c>
      <c r="E59" t="s">
        <v>593</v>
      </c>
      <c r="F59" t="s">
        <v>11</v>
      </c>
      <c r="G59" t="str">
        <f t="shared" si="0"/>
        <v>Yes</v>
      </c>
      <c r="H59">
        <f t="shared" si="1"/>
        <v>70</v>
      </c>
      <c r="I59" s="1">
        <f>IF(COUNTIF('Transaction Data'!A:A,A59)&gt;5,20,0)+IF(COUNTIFS('Transaction Data'!A:A,A59,'Transaction Data'!G:G,"Yes")&gt;2,30,0)</f>
        <v>0</v>
      </c>
      <c r="J59">
        <f>'Client Master Data'!I59+'Client Master Data'!J59+H59+I59</f>
        <v>120</v>
      </c>
    </row>
    <row r="60" spans="1:10">
      <c r="A60">
        <v>1073</v>
      </c>
      <c r="B60" t="s">
        <v>697</v>
      </c>
      <c r="C60" t="s">
        <v>698</v>
      </c>
      <c r="D60">
        <v>284511</v>
      </c>
      <c r="E60" t="s">
        <v>600</v>
      </c>
      <c r="F60" t="s">
        <v>54</v>
      </c>
      <c r="G60" t="str">
        <f t="shared" si="0"/>
        <v>Yes</v>
      </c>
      <c r="H60">
        <f t="shared" si="1"/>
        <v>70</v>
      </c>
      <c r="I60" s="1">
        <f>IF(COUNTIF('Transaction Data'!A:A,A60)&gt;5,20,0)+IF(COUNTIFS('Transaction Data'!A:A,A60,'Transaction Data'!G:G,"Yes")&gt;2,30,0)</f>
        <v>30</v>
      </c>
      <c r="J60">
        <f>'Client Master Data'!I60+'Client Master Data'!J60+H60+I60</f>
        <v>170</v>
      </c>
    </row>
    <row r="61" spans="1:10">
      <c r="A61">
        <v>1023</v>
      </c>
      <c r="B61" t="s">
        <v>699</v>
      </c>
      <c r="C61" t="s">
        <v>700</v>
      </c>
      <c r="D61">
        <v>385412</v>
      </c>
      <c r="E61" t="s">
        <v>588</v>
      </c>
      <c r="F61" t="s">
        <v>54</v>
      </c>
      <c r="G61" t="str">
        <f t="shared" si="0"/>
        <v>Yes</v>
      </c>
      <c r="H61">
        <f t="shared" si="1"/>
        <v>70</v>
      </c>
      <c r="I61" s="1">
        <f>IF(COUNTIF('Transaction Data'!A:A,A61)&gt;5,20,0)+IF(COUNTIFS('Transaction Data'!A:A,A61,'Transaction Data'!G:G,"Yes")&gt;2,30,0)</f>
        <v>0</v>
      </c>
      <c r="J61">
        <f>'Client Master Data'!I61+'Client Master Data'!J61+H61+I61</f>
        <v>100</v>
      </c>
    </row>
    <row r="62" spans="1:10">
      <c r="A62">
        <v>1488</v>
      </c>
      <c r="B62" t="s">
        <v>701</v>
      </c>
      <c r="C62" t="s">
        <v>696</v>
      </c>
      <c r="D62">
        <v>281536</v>
      </c>
      <c r="E62" t="s">
        <v>593</v>
      </c>
      <c r="F62" t="s">
        <v>17</v>
      </c>
      <c r="G62" t="str">
        <f t="shared" si="0"/>
        <v>Yes</v>
      </c>
      <c r="H62">
        <f t="shared" si="1"/>
        <v>70</v>
      </c>
      <c r="I62" s="1">
        <f>IF(COUNTIF('Transaction Data'!A:A,A62)&gt;5,20,0)+IF(COUNTIFS('Transaction Data'!A:A,A62,'Transaction Data'!G:G,"Yes")&gt;2,30,0)</f>
        <v>0</v>
      </c>
      <c r="J62">
        <f>'Client Master Data'!I62+'Client Master Data'!J62+H62+I62</f>
        <v>100</v>
      </c>
    </row>
    <row r="63" spans="1:10">
      <c r="A63">
        <v>1274</v>
      </c>
      <c r="B63" t="s">
        <v>702</v>
      </c>
      <c r="C63" t="s">
        <v>703</v>
      </c>
      <c r="D63">
        <v>132563</v>
      </c>
      <c r="E63" t="s">
        <v>593</v>
      </c>
      <c r="F63" t="s">
        <v>54</v>
      </c>
      <c r="G63" t="str">
        <f t="shared" si="0"/>
        <v>Yes</v>
      </c>
      <c r="H63">
        <f t="shared" si="1"/>
        <v>70</v>
      </c>
      <c r="I63" s="1">
        <f>IF(COUNTIF('Transaction Data'!A:A,A63)&gt;5,20,0)+IF(COUNTIFS('Transaction Data'!A:A,A63,'Transaction Data'!G:G,"Yes")&gt;2,30,0)</f>
        <v>30</v>
      </c>
      <c r="J63">
        <f>'Client Master Data'!I63+'Client Master Data'!J63+H63+I63</f>
        <v>150</v>
      </c>
    </row>
    <row r="64" spans="1:10">
      <c r="A64">
        <v>1452</v>
      </c>
      <c r="B64" t="s">
        <v>704</v>
      </c>
      <c r="C64" t="s">
        <v>696</v>
      </c>
      <c r="D64">
        <v>459366</v>
      </c>
      <c r="E64" t="s">
        <v>600</v>
      </c>
      <c r="F64" t="s">
        <v>11</v>
      </c>
      <c r="G64" t="str">
        <f t="shared" si="0"/>
        <v>Yes</v>
      </c>
      <c r="H64">
        <f t="shared" si="1"/>
        <v>70</v>
      </c>
      <c r="I64" s="1">
        <f>IF(COUNTIF('Transaction Data'!A:A,A64)&gt;5,20,0)+IF(COUNTIFS('Transaction Data'!A:A,A64,'Transaction Data'!G:G,"Yes")&gt;2,30,0)</f>
        <v>0</v>
      </c>
      <c r="J64">
        <f>'Client Master Data'!I64+'Client Master Data'!J64+H64+I64</f>
        <v>100</v>
      </c>
    </row>
    <row r="65" spans="1:10">
      <c r="A65">
        <v>1325</v>
      </c>
      <c r="B65" t="s">
        <v>705</v>
      </c>
      <c r="C65" t="s">
        <v>648</v>
      </c>
      <c r="D65">
        <v>142744</v>
      </c>
      <c r="E65" t="s">
        <v>593</v>
      </c>
      <c r="F65" t="s">
        <v>23</v>
      </c>
      <c r="G65" t="str">
        <f t="shared" si="0"/>
        <v>Yes</v>
      </c>
      <c r="H65">
        <f t="shared" si="1"/>
        <v>70</v>
      </c>
      <c r="I65" s="1">
        <f>IF(COUNTIF('Transaction Data'!A:A,A65)&gt;5,20,0)+IF(COUNTIFS('Transaction Data'!A:A,A65,'Transaction Data'!G:G,"Yes")&gt;2,30,0)</f>
        <v>30</v>
      </c>
      <c r="J65">
        <f>'Client Master Data'!I65+'Client Master Data'!J65+H65+I65</f>
        <v>140</v>
      </c>
    </row>
    <row r="66" spans="1:10">
      <c r="A66">
        <v>1096</v>
      </c>
      <c r="B66" t="s">
        <v>706</v>
      </c>
      <c r="C66" t="s">
        <v>707</v>
      </c>
      <c r="D66">
        <v>105896</v>
      </c>
      <c r="E66" t="s">
        <v>588</v>
      </c>
      <c r="F66" t="s">
        <v>23</v>
      </c>
      <c r="G66" t="str">
        <f t="shared" ref="G66:G129" si="2">IF(OR(D66&gt;100000,F66="UAE",F66="Nigeria"),"Yes","No")</f>
        <v>Yes</v>
      </c>
      <c r="H66">
        <f t="shared" si="1"/>
        <v>70</v>
      </c>
      <c r="I66" s="1">
        <f>IF(COUNTIF('Transaction Data'!A:A,A66)&gt;5,20,0)+IF(COUNTIFS('Transaction Data'!A:A,A66,'Transaction Data'!G:G,"Yes")&gt;2,30,0)</f>
        <v>30</v>
      </c>
      <c r="J66">
        <f>'Client Master Data'!I66+'Client Master Data'!J66+H66+I66</f>
        <v>150</v>
      </c>
    </row>
    <row r="67" spans="1:10">
      <c r="A67">
        <v>1293</v>
      </c>
      <c r="B67" t="s">
        <v>708</v>
      </c>
      <c r="C67" t="s">
        <v>709</v>
      </c>
      <c r="D67">
        <v>211137</v>
      </c>
      <c r="E67" t="s">
        <v>588</v>
      </c>
      <c r="F67" t="s">
        <v>17</v>
      </c>
      <c r="G67" t="str">
        <f t="shared" si="2"/>
        <v>Yes</v>
      </c>
      <c r="H67">
        <f t="shared" ref="H67:H130" si="3">IF(D67&gt;100000,30,0)+IF(TRIM(LOWER(G67))="yes",40,0)</f>
        <v>70</v>
      </c>
      <c r="I67" s="1">
        <f>IF(COUNTIF('Transaction Data'!A:A,A67)&gt;5,20,0)+IF(COUNTIFS('Transaction Data'!A:A,A67,'Transaction Data'!G:G,"Yes")&gt;2,30,0)</f>
        <v>0</v>
      </c>
      <c r="J67">
        <f>'Client Master Data'!I67+'Client Master Data'!J67+H67+I67</f>
        <v>140</v>
      </c>
    </row>
    <row r="68" spans="1:10">
      <c r="A68">
        <v>1137</v>
      </c>
      <c r="B68" t="s">
        <v>710</v>
      </c>
      <c r="C68" t="s">
        <v>711</v>
      </c>
      <c r="D68">
        <v>87429</v>
      </c>
      <c r="E68" t="s">
        <v>600</v>
      </c>
      <c r="F68" t="s">
        <v>11</v>
      </c>
      <c r="G68" t="str">
        <f t="shared" si="2"/>
        <v>No</v>
      </c>
      <c r="H68">
        <f t="shared" si="3"/>
        <v>0</v>
      </c>
      <c r="I68" s="1">
        <f>IF(COUNTIF('Transaction Data'!A:A,A68)&gt;5,20,0)+IF(COUNTIFS('Transaction Data'!A:A,A68,'Transaction Data'!G:G,"Yes")&gt;2,30,0)</f>
        <v>0</v>
      </c>
      <c r="J68">
        <f>'Client Master Data'!I68+'Client Master Data'!J68+H68+I68</f>
        <v>60</v>
      </c>
    </row>
    <row r="69" spans="1:10">
      <c r="A69">
        <v>1073</v>
      </c>
      <c r="B69" t="s">
        <v>712</v>
      </c>
      <c r="C69" t="s">
        <v>713</v>
      </c>
      <c r="D69">
        <v>484319</v>
      </c>
      <c r="E69" t="s">
        <v>588</v>
      </c>
      <c r="F69" t="s">
        <v>17</v>
      </c>
      <c r="G69" t="str">
        <f t="shared" si="2"/>
        <v>Yes</v>
      </c>
      <c r="H69">
        <f t="shared" si="3"/>
        <v>70</v>
      </c>
      <c r="I69" s="1">
        <f>IF(COUNTIF('Transaction Data'!A:A,A69)&gt;5,20,0)+IF(COUNTIFS('Transaction Data'!A:A,A69,'Transaction Data'!G:G,"Yes")&gt;2,30,0)</f>
        <v>30</v>
      </c>
      <c r="J69">
        <f>'Client Master Data'!I69+'Client Master Data'!J69+H69+I69</f>
        <v>120</v>
      </c>
    </row>
    <row r="70" spans="1:10">
      <c r="A70">
        <v>1089</v>
      </c>
      <c r="B70" t="s">
        <v>714</v>
      </c>
      <c r="C70" t="s">
        <v>644</v>
      </c>
      <c r="D70">
        <v>363947</v>
      </c>
      <c r="E70" t="s">
        <v>600</v>
      </c>
      <c r="F70" t="s">
        <v>17</v>
      </c>
      <c r="G70" t="str">
        <f t="shared" si="2"/>
        <v>Yes</v>
      </c>
      <c r="H70">
        <f t="shared" si="3"/>
        <v>70</v>
      </c>
      <c r="I70" s="1">
        <f>IF(COUNTIF('Transaction Data'!A:A,A70)&gt;5,20,0)+IF(COUNTIFS('Transaction Data'!A:A,A70,'Transaction Data'!G:G,"Yes")&gt;2,30,0)</f>
        <v>30</v>
      </c>
      <c r="J70">
        <f>'Client Master Data'!I70+'Client Master Data'!J70+H70+I70</f>
        <v>140</v>
      </c>
    </row>
    <row r="71" spans="1:10">
      <c r="A71">
        <v>1421</v>
      </c>
      <c r="B71" t="s">
        <v>715</v>
      </c>
      <c r="C71" t="s">
        <v>656</v>
      </c>
      <c r="D71">
        <v>61214</v>
      </c>
      <c r="E71" t="s">
        <v>600</v>
      </c>
      <c r="F71" t="s">
        <v>23</v>
      </c>
      <c r="G71" t="str">
        <f t="shared" si="2"/>
        <v>No</v>
      </c>
      <c r="H71">
        <f t="shared" si="3"/>
        <v>0</v>
      </c>
      <c r="I71" s="1">
        <f>IF(COUNTIF('Transaction Data'!A:A,A71)&gt;5,20,0)+IF(COUNTIFS('Transaction Data'!A:A,A71,'Transaction Data'!G:G,"Yes")&gt;2,30,0)</f>
        <v>30</v>
      </c>
      <c r="J71">
        <f>'Client Master Data'!I71+'Client Master Data'!J71+H71+I71</f>
        <v>80</v>
      </c>
    </row>
    <row r="72" spans="1:10">
      <c r="A72">
        <v>1041</v>
      </c>
      <c r="B72" t="s">
        <v>716</v>
      </c>
      <c r="C72" t="s">
        <v>717</v>
      </c>
      <c r="D72">
        <v>63700</v>
      </c>
      <c r="E72" t="s">
        <v>593</v>
      </c>
      <c r="F72" t="s">
        <v>11</v>
      </c>
      <c r="G72" t="str">
        <f t="shared" si="2"/>
        <v>No</v>
      </c>
      <c r="H72">
        <f t="shared" si="3"/>
        <v>0</v>
      </c>
      <c r="I72" s="1">
        <f>IF(COUNTIF('Transaction Data'!A:A,A72)&gt;5,20,0)+IF(COUNTIFS('Transaction Data'!A:A,A72,'Transaction Data'!G:G,"Yes")&gt;2,30,0)</f>
        <v>0</v>
      </c>
      <c r="J72">
        <f>'Client Master Data'!I72+'Client Master Data'!J72+H72+I72</f>
        <v>50</v>
      </c>
    </row>
    <row r="73" spans="1:10">
      <c r="A73">
        <v>1176</v>
      </c>
      <c r="B73" t="s">
        <v>718</v>
      </c>
      <c r="C73" t="s">
        <v>623</v>
      </c>
      <c r="D73">
        <v>376547</v>
      </c>
      <c r="E73" t="s">
        <v>588</v>
      </c>
      <c r="F73" t="s">
        <v>23</v>
      </c>
      <c r="G73" t="str">
        <f t="shared" si="2"/>
        <v>Yes</v>
      </c>
      <c r="H73">
        <f t="shared" si="3"/>
        <v>70</v>
      </c>
      <c r="I73" s="1">
        <f>IF(COUNTIF('Transaction Data'!A:A,A73)&gt;5,20,0)+IF(COUNTIFS('Transaction Data'!A:A,A73,'Transaction Data'!G:G,"Yes")&gt;2,30,0)</f>
        <v>0</v>
      </c>
      <c r="J73">
        <f>'Client Master Data'!I73+'Client Master Data'!J73+H73+I73</f>
        <v>120</v>
      </c>
    </row>
    <row r="74" spans="1:10">
      <c r="A74">
        <v>1393</v>
      </c>
      <c r="B74" t="s">
        <v>719</v>
      </c>
      <c r="C74" t="s">
        <v>720</v>
      </c>
      <c r="D74">
        <v>262654</v>
      </c>
      <c r="E74" t="s">
        <v>593</v>
      </c>
      <c r="F74" t="s">
        <v>39</v>
      </c>
      <c r="G74" t="str">
        <f t="shared" si="2"/>
        <v>Yes</v>
      </c>
      <c r="H74">
        <f t="shared" si="3"/>
        <v>70</v>
      </c>
      <c r="I74" s="1">
        <f>IF(COUNTIF('Transaction Data'!A:A,A74)&gt;5,20,0)+IF(COUNTIFS('Transaction Data'!A:A,A74,'Transaction Data'!G:G,"Yes")&gt;2,30,0)</f>
        <v>0</v>
      </c>
      <c r="J74">
        <f>'Client Master Data'!I74+'Client Master Data'!J74+H74+I74</f>
        <v>120</v>
      </c>
    </row>
    <row r="75" spans="1:10">
      <c r="A75">
        <v>1171</v>
      </c>
      <c r="B75" t="s">
        <v>721</v>
      </c>
      <c r="C75" t="s">
        <v>650</v>
      </c>
      <c r="D75">
        <v>156145</v>
      </c>
      <c r="E75" t="s">
        <v>600</v>
      </c>
      <c r="F75" t="s">
        <v>11</v>
      </c>
      <c r="G75" t="str">
        <f t="shared" si="2"/>
        <v>Yes</v>
      </c>
      <c r="H75">
        <f t="shared" si="3"/>
        <v>70</v>
      </c>
      <c r="I75" s="1">
        <f>IF(COUNTIF('Transaction Data'!A:A,A75)&gt;5,20,0)+IF(COUNTIFS('Transaction Data'!A:A,A75,'Transaction Data'!G:G,"Yes")&gt;2,30,0)</f>
        <v>30</v>
      </c>
      <c r="J75">
        <f>'Client Master Data'!I75+'Client Master Data'!J75+H75+I75</f>
        <v>140</v>
      </c>
    </row>
    <row r="76" spans="1:10">
      <c r="A76">
        <v>1256</v>
      </c>
      <c r="B76" t="s">
        <v>722</v>
      </c>
      <c r="C76" t="s">
        <v>723</v>
      </c>
      <c r="D76">
        <v>488846</v>
      </c>
      <c r="E76" t="s">
        <v>588</v>
      </c>
      <c r="F76" t="s">
        <v>27</v>
      </c>
      <c r="G76" t="str">
        <f t="shared" si="2"/>
        <v>Yes</v>
      </c>
      <c r="H76">
        <f t="shared" si="3"/>
        <v>70</v>
      </c>
      <c r="I76" s="1">
        <f>IF(COUNTIF('Transaction Data'!A:A,A76)&gt;5,20,0)+IF(COUNTIFS('Transaction Data'!A:A,A76,'Transaction Data'!G:G,"Yes")&gt;2,30,0)</f>
        <v>0</v>
      </c>
      <c r="J76">
        <f>'Client Master Data'!I76+'Client Master Data'!J76+H76+I76</f>
        <v>100</v>
      </c>
    </row>
    <row r="77" spans="1:10">
      <c r="A77">
        <v>1541</v>
      </c>
      <c r="B77" t="s">
        <v>724</v>
      </c>
      <c r="C77" t="s">
        <v>725</v>
      </c>
      <c r="D77">
        <v>105903</v>
      </c>
      <c r="E77" t="s">
        <v>588</v>
      </c>
      <c r="F77" t="s">
        <v>54</v>
      </c>
      <c r="G77" t="str">
        <f t="shared" si="2"/>
        <v>Yes</v>
      </c>
      <c r="H77">
        <f t="shared" si="3"/>
        <v>70</v>
      </c>
      <c r="I77" s="1">
        <f>IF(COUNTIF('Transaction Data'!A:A,A77)&gt;5,20,0)+IF(COUNTIFS('Transaction Data'!A:A,A77,'Transaction Data'!G:G,"Yes")&gt;2,30,0)</f>
        <v>30</v>
      </c>
      <c r="J77">
        <f>'Client Master Data'!I77+'Client Master Data'!J77+H77+I77</f>
        <v>120</v>
      </c>
    </row>
    <row r="78" spans="1:10">
      <c r="A78">
        <v>1122</v>
      </c>
      <c r="B78" t="s">
        <v>726</v>
      </c>
      <c r="C78" t="s">
        <v>713</v>
      </c>
      <c r="D78">
        <v>5094</v>
      </c>
      <c r="E78" t="s">
        <v>588</v>
      </c>
      <c r="F78" t="s">
        <v>54</v>
      </c>
      <c r="G78" t="str">
        <f t="shared" si="2"/>
        <v>Yes</v>
      </c>
      <c r="H78">
        <f t="shared" si="3"/>
        <v>40</v>
      </c>
      <c r="I78" s="1">
        <f>IF(COUNTIF('Transaction Data'!A:A,A78)&gt;5,20,0)+IF(COUNTIFS('Transaction Data'!A:A,A78,'Transaction Data'!G:G,"Yes")&gt;2,30,0)</f>
        <v>0</v>
      </c>
      <c r="J78">
        <f>'Client Master Data'!I78+'Client Master Data'!J78+H78+I78</f>
        <v>100</v>
      </c>
    </row>
    <row r="79" spans="1:10">
      <c r="A79">
        <v>1088</v>
      </c>
      <c r="B79" t="s">
        <v>727</v>
      </c>
      <c r="C79" t="s">
        <v>602</v>
      </c>
      <c r="D79">
        <v>108662</v>
      </c>
      <c r="E79" t="s">
        <v>588</v>
      </c>
      <c r="F79" t="s">
        <v>54</v>
      </c>
      <c r="G79" t="str">
        <f t="shared" si="2"/>
        <v>Yes</v>
      </c>
      <c r="H79">
        <f t="shared" si="3"/>
        <v>70</v>
      </c>
      <c r="I79" s="1">
        <f>IF(COUNTIF('Transaction Data'!A:A,A79)&gt;5,20,0)+IF(COUNTIFS('Transaction Data'!A:A,A79,'Transaction Data'!G:G,"Yes")&gt;2,30,0)</f>
        <v>0</v>
      </c>
      <c r="J79">
        <f>'Client Master Data'!I79+'Client Master Data'!J79+H79+I79</f>
        <v>120</v>
      </c>
    </row>
    <row r="80" spans="1:10">
      <c r="A80">
        <v>1232</v>
      </c>
      <c r="B80" t="s">
        <v>728</v>
      </c>
      <c r="C80" t="s">
        <v>729</v>
      </c>
      <c r="D80">
        <v>371211</v>
      </c>
      <c r="E80" t="s">
        <v>588</v>
      </c>
      <c r="F80" t="s">
        <v>39</v>
      </c>
      <c r="G80" t="str">
        <f t="shared" si="2"/>
        <v>Yes</v>
      </c>
      <c r="H80">
        <f t="shared" si="3"/>
        <v>70</v>
      </c>
      <c r="I80" s="1">
        <f>IF(COUNTIF('Transaction Data'!A:A,A80)&gt;5,20,0)+IF(COUNTIFS('Transaction Data'!A:A,A80,'Transaction Data'!G:G,"Yes")&gt;2,30,0)</f>
        <v>0</v>
      </c>
      <c r="J80">
        <f>'Client Master Data'!I80+'Client Master Data'!J80+H80+I80</f>
        <v>140</v>
      </c>
    </row>
    <row r="81" spans="1:10">
      <c r="A81">
        <v>1062</v>
      </c>
      <c r="B81" t="s">
        <v>730</v>
      </c>
      <c r="C81" t="s">
        <v>731</v>
      </c>
      <c r="D81">
        <v>305437</v>
      </c>
      <c r="E81" t="s">
        <v>600</v>
      </c>
      <c r="F81" t="s">
        <v>17</v>
      </c>
      <c r="G81" t="str">
        <f t="shared" si="2"/>
        <v>Yes</v>
      </c>
      <c r="H81">
        <f t="shared" si="3"/>
        <v>70</v>
      </c>
      <c r="I81" s="1">
        <f>IF(COUNTIF('Transaction Data'!A:A,A81)&gt;5,20,0)+IF(COUNTIFS('Transaction Data'!A:A,A81,'Transaction Data'!G:G,"Yes")&gt;2,30,0)</f>
        <v>0</v>
      </c>
      <c r="J81">
        <f>'Client Master Data'!I81+'Client Master Data'!J81+H81+I81</f>
        <v>140</v>
      </c>
    </row>
    <row r="82" spans="1:10">
      <c r="A82">
        <v>1500</v>
      </c>
      <c r="B82" t="s">
        <v>732</v>
      </c>
      <c r="C82" t="s">
        <v>602</v>
      </c>
      <c r="D82">
        <v>134084</v>
      </c>
      <c r="E82" t="s">
        <v>593</v>
      </c>
      <c r="F82" t="s">
        <v>27</v>
      </c>
      <c r="G82" t="str">
        <f t="shared" si="2"/>
        <v>Yes</v>
      </c>
      <c r="H82">
        <f t="shared" si="3"/>
        <v>70</v>
      </c>
      <c r="I82" s="1">
        <f>IF(COUNTIF('Transaction Data'!A:A,A82)&gt;5,20,0)+IF(COUNTIFS('Transaction Data'!A:A,A82,'Transaction Data'!G:G,"Yes")&gt;2,30,0)</f>
        <v>30</v>
      </c>
      <c r="J82">
        <f>'Client Master Data'!I82+'Client Master Data'!J82+H82+I82</f>
        <v>160</v>
      </c>
    </row>
    <row r="83" spans="1:10">
      <c r="A83">
        <v>1027</v>
      </c>
      <c r="B83" t="s">
        <v>733</v>
      </c>
      <c r="C83" t="s">
        <v>734</v>
      </c>
      <c r="D83">
        <v>404395</v>
      </c>
      <c r="E83" t="s">
        <v>588</v>
      </c>
      <c r="F83" t="s">
        <v>27</v>
      </c>
      <c r="G83" t="str">
        <f t="shared" si="2"/>
        <v>Yes</v>
      </c>
      <c r="H83">
        <f t="shared" si="3"/>
        <v>70</v>
      </c>
      <c r="I83" s="1">
        <f>IF(COUNTIF('Transaction Data'!A:A,A83)&gt;5,20,0)+IF(COUNTIFS('Transaction Data'!A:A,A83,'Transaction Data'!G:G,"Yes")&gt;2,30,0)</f>
        <v>0</v>
      </c>
      <c r="J83">
        <f>'Client Master Data'!I83+'Client Master Data'!J83+H83+I83</f>
        <v>110</v>
      </c>
    </row>
    <row r="84" spans="1:10">
      <c r="A84">
        <v>1408</v>
      </c>
      <c r="B84" t="s">
        <v>735</v>
      </c>
      <c r="C84" t="s">
        <v>736</v>
      </c>
      <c r="D84">
        <v>146635</v>
      </c>
      <c r="E84" t="s">
        <v>593</v>
      </c>
      <c r="F84" t="s">
        <v>23</v>
      </c>
      <c r="G84" t="str">
        <f t="shared" si="2"/>
        <v>Yes</v>
      </c>
      <c r="H84">
        <f t="shared" si="3"/>
        <v>70</v>
      </c>
      <c r="I84" s="1">
        <f>IF(COUNTIF('Transaction Data'!A:A,A84)&gt;5,20,0)+IF(COUNTIFS('Transaction Data'!A:A,A84,'Transaction Data'!G:G,"Yes")&gt;2,30,0)</f>
        <v>0</v>
      </c>
      <c r="J84">
        <f>'Client Master Data'!I84+'Client Master Data'!J84+H84+I84</f>
        <v>120</v>
      </c>
    </row>
    <row r="85" spans="1:10">
      <c r="A85">
        <v>1278</v>
      </c>
      <c r="B85" t="s">
        <v>737</v>
      </c>
      <c r="C85" t="s">
        <v>738</v>
      </c>
      <c r="D85">
        <v>323969</v>
      </c>
      <c r="E85" t="s">
        <v>588</v>
      </c>
      <c r="F85" t="s">
        <v>39</v>
      </c>
      <c r="G85" t="str">
        <f t="shared" si="2"/>
        <v>Yes</v>
      </c>
      <c r="H85">
        <f t="shared" si="3"/>
        <v>70</v>
      </c>
      <c r="I85" s="1">
        <f>IF(COUNTIF('Transaction Data'!A:A,A85)&gt;5,20,0)+IF(COUNTIFS('Transaction Data'!A:A,A85,'Transaction Data'!G:G,"Yes")&gt;2,30,0)</f>
        <v>0</v>
      </c>
      <c r="J85">
        <f>'Client Master Data'!I85+'Client Master Data'!J85+H85+I85</f>
        <v>110</v>
      </c>
    </row>
    <row r="86" spans="1:10">
      <c r="A86">
        <v>1173</v>
      </c>
      <c r="B86" t="s">
        <v>739</v>
      </c>
      <c r="C86" t="s">
        <v>740</v>
      </c>
      <c r="D86">
        <v>459091</v>
      </c>
      <c r="E86" t="s">
        <v>593</v>
      </c>
      <c r="F86" t="s">
        <v>17</v>
      </c>
      <c r="G86" t="str">
        <f t="shared" si="2"/>
        <v>Yes</v>
      </c>
      <c r="H86">
        <f t="shared" si="3"/>
        <v>70</v>
      </c>
      <c r="I86" s="1">
        <f>IF(COUNTIF('Transaction Data'!A:A,A86)&gt;5,20,0)+IF(COUNTIFS('Transaction Data'!A:A,A86,'Transaction Data'!G:G,"Yes")&gt;2,30,0)</f>
        <v>30</v>
      </c>
      <c r="J86">
        <f>'Client Master Data'!I86+'Client Master Data'!J86+H86+I86</f>
        <v>130</v>
      </c>
    </row>
    <row r="87" spans="1:10">
      <c r="A87">
        <v>1263</v>
      </c>
      <c r="B87" t="s">
        <v>741</v>
      </c>
      <c r="C87" t="s">
        <v>738</v>
      </c>
      <c r="D87">
        <v>102520</v>
      </c>
      <c r="E87" t="s">
        <v>600</v>
      </c>
      <c r="F87" t="s">
        <v>39</v>
      </c>
      <c r="G87" t="str">
        <f t="shared" si="2"/>
        <v>Yes</v>
      </c>
      <c r="H87">
        <f t="shared" si="3"/>
        <v>70</v>
      </c>
      <c r="I87" s="1">
        <f>IF(COUNTIF('Transaction Data'!A:A,A87)&gt;5,20,0)+IF(COUNTIFS('Transaction Data'!A:A,A87,'Transaction Data'!G:G,"Yes")&gt;2,30,0)</f>
        <v>0</v>
      </c>
      <c r="J87">
        <f>'Client Master Data'!I87+'Client Master Data'!J87+H87+I87</f>
        <v>100</v>
      </c>
    </row>
    <row r="88" spans="1:10">
      <c r="A88">
        <v>1254</v>
      </c>
      <c r="B88" t="s">
        <v>742</v>
      </c>
      <c r="C88" t="s">
        <v>743</v>
      </c>
      <c r="D88">
        <v>88169</v>
      </c>
      <c r="E88" t="s">
        <v>593</v>
      </c>
      <c r="F88" t="s">
        <v>11</v>
      </c>
      <c r="G88" t="str">
        <f t="shared" si="2"/>
        <v>No</v>
      </c>
      <c r="H88">
        <f t="shared" si="3"/>
        <v>0</v>
      </c>
      <c r="I88" s="1">
        <f>IF(COUNTIF('Transaction Data'!A:A,A88)&gt;5,20,0)+IF(COUNTIFS('Transaction Data'!A:A,A88,'Transaction Data'!G:G,"Yes")&gt;2,30,0)</f>
        <v>0</v>
      </c>
      <c r="J88">
        <f>'Client Master Data'!I88+'Client Master Data'!J88+H88+I88</f>
        <v>20</v>
      </c>
    </row>
    <row r="89" spans="1:10">
      <c r="A89">
        <v>1545</v>
      </c>
      <c r="B89" t="s">
        <v>744</v>
      </c>
      <c r="C89" t="s">
        <v>745</v>
      </c>
      <c r="D89">
        <v>292708</v>
      </c>
      <c r="E89" t="s">
        <v>588</v>
      </c>
      <c r="F89" t="s">
        <v>39</v>
      </c>
      <c r="G89" t="str">
        <f t="shared" si="2"/>
        <v>Yes</v>
      </c>
      <c r="H89">
        <f t="shared" si="3"/>
        <v>70</v>
      </c>
      <c r="I89" s="1">
        <f>IF(COUNTIF('Transaction Data'!A:A,A89)&gt;5,20,0)+IF(COUNTIFS('Transaction Data'!A:A,A89,'Transaction Data'!G:G,"Yes")&gt;2,30,0)</f>
        <v>30</v>
      </c>
      <c r="J89">
        <f>'Client Master Data'!I89+'Client Master Data'!J89+H89+I89</f>
        <v>140</v>
      </c>
    </row>
    <row r="90" spans="1:10">
      <c r="A90">
        <v>1373</v>
      </c>
      <c r="B90" t="s">
        <v>746</v>
      </c>
      <c r="C90" t="s">
        <v>747</v>
      </c>
      <c r="D90">
        <v>227288</v>
      </c>
      <c r="E90" t="s">
        <v>588</v>
      </c>
      <c r="F90" t="s">
        <v>11</v>
      </c>
      <c r="G90" t="str">
        <f t="shared" si="2"/>
        <v>Yes</v>
      </c>
      <c r="H90">
        <f t="shared" si="3"/>
        <v>70</v>
      </c>
      <c r="I90" s="1">
        <f>IF(COUNTIF('Transaction Data'!A:A,A90)&gt;5,20,0)+IF(COUNTIFS('Transaction Data'!A:A,A90,'Transaction Data'!G:G,"Yes")&gt;2,30,0)</f>
        <v>30</v>
      </c>
      <c r="J90">
        <f>'Client Master Data'!I90+'Client Master Data'!J90+H90+I90</f>
        <v>150</v>
      </c>
    </row>
    <row r="91" spans="1:10">
      <c r="A91">
        <v>1025</v>
      </c>
      <c r="B91" t="s">
        <v>748</v>
      </c>
      <c r="C91" t="s">
        <v>700</v>
      </c>
      <c r="D91">
        <v>85017</v>
      </c>
      <c r="E91" t="s">
        <v>593</v>
      </c>
      <c r="F91" t="s">
        <v>23</v>
      </c>
      <c r="G91" t="str">
        <f t="shared" si="2"/>
        <v>No</v>
      </c>
      <c r="H91">
        <f t="shared" si="3"/>
        <v>0</v>
      </c>
      <c r="I91" s="1">
        <f>IF(COUNTIF('Transaction Data'!A:A,A91)&gt;5,20,0)+IF(COUNTIFS('Transaction Data'!A:A,A91,'Transaction Data'!G:G,"Yes")&gt;2,30,0)</f>
        <v>0</v>
      </c>
      <c r="J91">
        <f>'Client Master Data'!I91+'Client Master Data'!J91+H91+I91</f>
        <v>60</v>
      </c>
    </row>
    <row r="92" spans="1:10">
      <c r="A92">
        <v>1338</v>
      </c>
      <c r="B92" t="s">
        <v>749</v>
      </c>
      <c r="C92" t="s">
        <v>747</v>
      </c>
      <c r="D92">
        <v>142915</v>
      </c>
      <c r="E92" t="s">
        <v>593</v>
      </c>
      <c r="F92" t="s">
        <v>54</v>
      </c>
      <c r="G92" t="str">
        <f t="shared" si="2"/>
        <v>Yes</v>
      </c>
      <c r="H92">
        <f t="shared" si="3"/>
        <v>70</v>
      </c>
      <c r="I92" s="1">
        <f>IF(COUNTIF('Transaction Data'!A:A,A92)&gt;5,20,0)+IF(COUNTIFS('Transaction Data'!A:A,A92,'Transaction Data'!G:G,"Yes")&gt;2,30,0)</f>
        <v>0</v>
      </c>
      <c r="J92">
        <f>'Client Master Data'!I92+'Client Master Data'!J92+H92+I92</f>
        <v>120</v>
      </c>
    </row>
    <row r="93" spans="1:10">
      <c r="A93">
        <v>1187</v>
      </c>
      <c r="B93" t="s">
        <v>750</v>
      </c>
      <c r="C93" t="s">
        <v>751</v>
      </c>
      <c r="D93">
        <v>319514</v>
      </c>
      <c r="E93" t="s">
        <v>588</v>
      </c>
      <c r="F93" t="s">
        <v>27</v>
      </c>
      <c r="G93" t="str">
        <f t="shared" si="2"/>
        <v>Yes</v>
      </c>
      <c r="H93">
        <f t="shared" si="3"/>
        <v>70</v>
      </c>
      <c r="I93" s="1">
        <f>IF(COUNTIF('Transaction Data'!A:A,A93)&gt;5,20,0)+IF(COUNTIFS('Transaction Data'!A:A,A93,'Transaction Data'!G:G,"Yes")&gt;2,30,0)</f>
        <v>0</v>
      </c>
      <c r="J93">
        <f>'Client Master Data'!I93+'Client Master Data'!J93+H93+I93</f>
        <v>120</v>
      </c>
    </row>
    <row r="94" spans="1:10">
      <c r="A94">
        <v>1353</v>
      </c>
      <c r="B94" t="s">
        <v>752</v>
      </c>
      <c r="C94" t="s">
        <v>678</v>
      </c>
      <c r="D94">
        <v>25592</v>
      </c>
      <c r="E94" t="s">
        <v>593</v>
      </c>
      <c r="F94" t="s">
        <v>11</v>
      </c>
      <c r="G94" t="str">
        <f t="shared" si="2"/>
        <v>No</v>
      </c>
      <c r="H94">
        <f t="shared" si="3"/>
        <v>0</v>
      </c>
      <c r="I94" s="1">
        <f>IF(COUNTIF('Transaction Data'!A:A,A94)&gt;5,20,0)+IF(COUNTIFS('Transaction Data'!A:A,A94,'Transaction Data'!G:G,"Yes")&gt;2,30,0)</f>
        <v>0</v>
      </c>
      <c r="J94">
        <f>'Client Master Data'!I94+'Client Master Data'!J94+H94+I94</f>
        <v>60</v>
      </c>
    </row>
    <row r="95" spans="1:10">
      <c r="A95">
        <v>1170</v>
      </c>
      <c r="B95" t="s">
        <v>753</v>
      </c>
      <c r="C95" t="s">
        <v>754</v>
      </c>
      <c r="D95">
        <v>457112</v>
      </c>
      <c r="E95" t="s">
        <v>593</v>
      </c>
      <c r="F95" t="s">
        <v>54</v>
      </c>
      <c r="G95" t="str">
        <f t="shared" si="2"/>
        <v>Yes</v>
      </c>
      <c r="H95">
        <f t="shared" si="3"/>
        <v>70</v>
      </c>
      <c r="I95" s="1">
        <f>IF(COUNTIF('Transaction Data'!A:A,A95)&gt;5,20,0)+IF(COUNTIFS('Transaction Data'!A:A,A95,'Transaction Data'!G:G,"Yes")&gt;2,30,0)</f>
        <v>30</v>
      </c>
      <c r="J95">
        <f>'Client Master Data'!I95+'Client Master Data'!J95+H95+I95</f>
        <v>170</v>
      </c>
    </row>
    <row r="96" spans="1:10">
      <c r="A96">
        <v>1286</v>
      </c>
      <c r="B96" t="s">
        <v>755</v>
      </c>
      <c r="C96" t="s">
        <v>756</v>
      </c>
      <c r="D96">
        <v>271633</v>
      </c>
      <c r="E96" t="s">
        <v>593</v>
      </c>
      <c r="F96" t="s">
        <v>27</v>
      </c>
      <c r="G96" t="str">
        <f t="shared" si="2"/>
        <v>Yes</v>
      </c>
      <c r="H96">
        <f t="shared" si="3"/>
        <v>70</v>
      </c>
      <c r="I96" s="1">
        <f>IF(COUNTIF('Transaction Data'!A:A,A96)&gt;5,20,0)+IF(COUNTIFS('Transaction Data'!A:A,A96,'Transaction Data'!G:G,"Yes")&gt;2,30,0)</f>
        <v>0</v>
      </c>
      <c r="J96">
        <f>'Client Master Data'!I96+'Client Master Data'!J96+H96+I96</f>
        <v>110</v>
      </c>
    </row>
    <row r="97" spans="1:10">
      <c r="A97">
        <v>1471</v>
      </c>
      <c r="B97" t="s">
        <v>757</v>
      </c>
      <c r="C97" t="s">
        <v>758</v>
      </c>
      <c r="D97">
        <v>248962</v>
      </c>
      <c r="E97" t="s">
        <v>593</v>
      </c>
      <c r="F97" t="s">
        <v>27</v>
      </c>
      <c r="G97" t="str">
        <f t="shared" si="2"/>
        <v>Yes</v>
      </c>
      <c r="H97">
        <f t="shared" si="3"/>
        <v>70</v>
      </c>
      <c r="I97" s="1">
        <f>IF(COUNTIF('Transaction Data'!A:A,A97)&gt;5,20,0)+IF(COUNTIFS('Transaction Data'!A:A,A97,'Transaction Data'!G:G,"Yes")&gt;2,30,0)</f>
        <v>0</v>
      </c>
      <c r="J97">
        <f>'Client Master Data'!I97+'Client Master Data'!J97+H97+I97</f>
        <v>120</v>
      </c>
    </row>
    <row r="98" spans="1:10">
      <c r="A98">
        <v>1165</v>
      </c>
      <c r="B98" t="s">
        <v>759</v>
      </c>
      <c r="C98" t="s">
        <v>760</v>
      </c>
      <c r="D98">
        <v>293337</v>
      </c>
      <c r="E98" t="s">
        <v>600</v>
      </c>
      <c r="F98" t="s">
        <v>54</v>
      </c>
      <c r="G98" t="str">
        <f t="shared" si="2"/>
        <v>Yes</v>
      </c>
      <c r="H98">
        <f t="shared" si="3"/>
        <v>70</v>
      </c>
      <c r="I98" s="1">
        <f>IF(COUNTIF('Transaction Data'!A:A,A98)&gt;5,20,0)+IF(COUNTIFS('Transaction Data'!A:A,A98,'Transaction Data'!G:G,"Yes")&gt;2,30,0)</f>
        <v>30</v>
      </c>
      <c r="J98">
        <f>'Client Master Data'!I98+'Client Master Data'!J98+H98+I98</f>
        <v>120</v>
      </c>
    </row>
    <row r="99" spans="1:10">
      <c r="A99">
        <v>1427</v>
      </c>
      <c r="B99" t="s">
        <v>761</v>
      </c>
      <c r="C99" t="s">
        <v>762</v>
      </c>
      <c r="D99">
        <v>10254</v>
      </c>
      <c r="E99" t="s">
        <v>593</v>
      </c>
      <c r="F99" t="s">
        <v>17</v>
      </c>
      <c r="G99" t="str">
        <f t="shared" si="2"/>
        <v>Yes</v>
      </c>
      <c r="H99">
        <f t="shared" si="3"/>
        <v>40</v>
      </c>
      <c r="I99" s="1">
        <f>IF(COUNTIF('Transaction Data'!A:A,A99)&gt;5,20,0)+IF(COUNTIFS('Transaction Data'!A:A,A99,'Transaction Data'!G:G,"Yes")&gt;2,30,0)</f>
        <v>50</v>
      </c>
      <c r="J99">
        <f>'Client Master Data'!I99+'Client Master Data'!J99+H99+I99</f>
        <v>110</v>
      </c>
    </row>
    <row r="100" spans="1:10">
      <c r="A100">
        <v>1266</v>
      </c>
      <c r="B100" t="s">
        <v>763</v>
      </c>
      <c r="C100" t="s">
        <v>635</v>
      </c>
      <c r="D100">
        <v>38626</v>
      </c>
      <c r="E100" t="s">
        <v>588</v>
      </c>
      <c r="F100" t="s">
        <v>17</v>
      </c>
      <c r="G100" t="str">
        <f t="shared" si="2"/>
        <v>Yes</v>
      </c>
      <c r="H100">
        <f t="shared" si="3"/>
        <v>40</v>
      </c>
      <c r="I100" s="1">
        <f>IF(COUNTIF('Transaction Data'!A:A,A100)&gt;5,20,0)+IF(COUNTIFS('Transaction Data'!A:A,A100,'Transaction Data'!G:G,"Yes")&gt;2,30,0)</f>
        <v>30</v>
      </c>
      <c r="J100">
        <f>'Client Master Data'!I100+'Client Master Data'!J100+H100+I100</f>
        <v>130</v>
      </c>
    </row>
    <row r="101" spans="1:10">
      <c r="A101">
        <v>1226</v>
      </c>
      <c r="B101" t="s">
        <v>764</v>
      </c>
      <c r="C101" t="s">
        <v>707</v>
      </c>
      <c r="D101">
        <v>462136</v>
      </c>
      <c r="E101" t="s">
        <v>600</v>
      </c>
      <c r="F101" t="s">
        <v>39</v>
      </c>
      <c r="G101" t="str">
        <f t="shared" si="2"/>
        <v>Yes</v>
      </c>
      <c r="H101">
        <f t="shared" si="3"/>
        <v>70</v>
      </c>
      <c r="I101" s="1">
        <f>IF(COUNTIF('Transaction Data'!A:A,A101)&gt;5,20,0)+IF(COUNTIFS('Transaction Data'!A:A,A101,'Transaction Data'!G:G,"Yes")&gt;2,30,0)</f>
        <v>0</v>
      </c>
      <c r="J101">
        <f>'Client Master Data'!I101+'Client Master Data'!J101+H101+I101</f>
        <v>110</v>
      </c>
    </row>
    <row r="102" spans="1:10">
      <c r="A102">
        <v>1071</v>
      </c>
      <c r="B102" t="s">
        <v>765</v>
      </c>
      <c r="C102" t="s">
        <v>745</v>
      </c>
      <c r="D102">
        <v>365436</v>
      </c>
      <c r="E102" t="s">
        <v>593</v>
      </c>
      <c r="F102" t="s">
        <v>11</v>
      </c>
      <c r="G102" t="str">
        <f t="shared" si="2"/>
        <v>Yes</v>
      </c>
      <c r="H102">
        <f t="shared" si="3"/>
        <v>70</v>
      </c>
      <c r="I102" s="1">
        <f>IF(COUNTIF('Transaction Data'!A:A,A102)&gt;5,20,0)+IF(COUNTIFS('Transaction Data'!A:A,A102,'Transaction Data'!G:G,"Yes")&gt;2,30,0)</f>
        <v>30</v>
      </c>
      <c r="J102">
        <f>'Client Master Data'!I102+'Client Master Data'!J102+H102+I102</f>
        <v>140</v>
      </c>
    </row>
    <row r="103" spans="1:10">
      <c r="A103">
        <v>1022</v>
      </c>
      <c r="B103" t="s">
        <v>766</v>
      </c>
      <c r="C103" t="s">
        <v>767</v>
      </c>
      <c r="D103">
        <v>244271</v>
      </c>
      <c r="E103" t="s">
        <v>588</v>
      </c>
      <c r="F103" t="s">
        <v>39</v>
      </c>
      <c r="G103" t="str">
        <f t="shared" si="2"/>
        <v>Yes</v>
      </c>
      <c r="H103">
        <f t="shared" si="3"/>
        <v>70</v>
      </c>
      <c r="I103" s="1">
        <f>IF(COUNTIF('Transaction Data'!A:A,A103)&gt;5,20,0)+IF(COUNTIFS('Transaction Data'!A:A,A103,'Transaction Data'!G:G,"Yes")&gt;2,30,0)</f>
        <v>0</v>
      </c>
      <c r="J103">
        <f>'Client Master Data'!I103+'Client Master Data'!J103+H103+I103</f>
        <v>110</v>
      </c>
    </row>
    <row r="104" spans="1:10">
      <c r="A104">
        <v>1254</v>
      </c>
      <c r="B104" t="s">
        <v>768</v>
      </c>
      <c r="C104" t="s">
        <v>769</v>
      </c>
      <c r="D104">
        <v>72873</v>
      </c>
      <c r="E104" t="s">
        <v>600</v>
      </c>
      <c r="F104" t="s">
        <v>11</v>
      </c>
      <c r="G104" t="str">
        <f t="shared" si="2"/>
        <v>No</v>
      </c>
      <c r="H104">
        <f t="shared" si="3"/>
        <v>0</v>
      </c>
      <c r="I104" s="1">
        <f>IF(COUNTIF('Transaction Data'!A:A,A104)&gt;5,20,0)+IF(COUNTIFS('Transaction Data'!A:A,A104,'Transaction Data'!G:G,"Yes")&gt;2,30,0)</f>
        <v>0</v>
      </c>
      <c r="J104">
        <f>'Client Master Data'!I104+'Client Master Data'!J104+H104+I104</f>
        <v>70</v>
      </c>
    </row>
    <row r="105" spans="1:10">
      <c r="A105">
        <v>1227</v>
      </c>
      <c r="B105" t="s">
        <v>770</v>
      </c>
      <c r="C105" t="s">
        <v>678</v>
      </c>
      <c r="D105">
        <v>11361</v>
      </c>
      <c r="E105" t="s">
        <v>593</v>
      </c>
      <c r="F105" t="s">
        <v>39</v>
      </c>
      <c r="G105" t="str">
        <f t="shared" si="2"/>
        <v>No</v>
      </c>
      <c r="H105">
        <f t="shared" si="3"/>
        <v>0</v>
      </c>
      <c r="I105" s="1">
        <f>IF(COUNTIF('Transaction Data'!A:A,A105)&gt;5,20,0)+IF(COUNTIFS('Transaction Data'!A:A,A105,'Transaction Data'!G:G,"Yes")&gt;2,30,0)</f>
        <v>0</v>
      </c>
      <c r="J105">
        <f>'Client Master Data'!I105+'Client Master Data'!J105+H105+I105</f>
        <v>50</v>
      </c>
    </row>
    <row r="106" spans="1:10">
      <c r="A106">
        <v>1048</v>
      </c>
      <c r="B106" t="s">
        <v>771</v>
      </c>
      <c r="C106" t="s">
        <v>678</v>
      </c>
      <c r="D106">
        <v>204241</v>
      </c>
      <c r="E106" t="s">
        <v>593</v>
      </c>
      <c r="F106" t="s">
        <v>54</v>
      </c>
      <c r="G106" t="str">
        <f t="shared" si="2"/>
        <v>Yes</v>
      </c>
      <c r="H106">
        <f t="shared" si="3"/>
        <v>70</v>
      </c>
      <c r="I106" s="1">
        <f>IF(COUNTIF('Transaction Data'!A:A,A106)&gt;5,20,0)+IF(COUNTIFS('Transaction Data'!A:A,A106,'Transaction Data'!G:G,"Yes")&gt;2,30,0)</f>
        <v>30</v>
      </c>
      <c r="J106">
        <f>'Client Master Data'!I106+'Client Master Data'!J106+H106+I106</f>
        <v>170</v>
      </c>
    </row>
    <row r="107" spans="1:10">
      <c r="A107">
        <v>1401</v>
      </c>
      <c r="B107" t="s">
        <v>772</v>
      </c>
      <c r="C107" t="s">
        <v>773</v>
      </c>
      <c r="D107">
        <v>290385</v>
      </c>
      <c r="E107" t="s">
        <v>593</v>
      </c>
      <c r="F107" t="s">
        <v>11</v>
      </c>
      <c r="G107" t="str">
        <f t="shared" si="2"/>
        <v>Yes</v>
      </c>
      <c r="H107">
        <f t="shared" si="3"/>
        <v>70</v>
      </c>
      <c r="I107" s="1">
        <f>IF(COUNTIF('Transaction Data'!A:A,A107)&gt;5,20,0)+IF(COUNTIFS('Transaction Data'!A:A,A107,'Transaction Data'!G:G,"Yes")&gt;2,30,0)</f>
        <v>0</v>
      </c>
      <c r="J107">
        <f>'Client Master Data'!I107+'Client Master Data'!J107+H107+I107</f>
        <v>110</v>
      </c>
    </row>
    <row r="108" spans="1:10">
      <c r="A108">
        <v>1343</v>
      </c>
      <c r="B108" t="s">
        <v>774</v>
      </c>
      <c r="C108" t="s">
        <v>775</v>
      </c>
      <c r="D108">
        <v>9730</v>
      </c>
      <c r="E108" t="s">
        <v>600</v>
      </c>
      <c r="F108" t="s">
        <v>39</v>
      </c>
      <c r="G108" t="str">
        <f t="shared" si="2"/>
        <v>No</v>
      </c>
      <c r="H108">
        <f t="shared" si="3"/>
        <v>0</v>
      </c>
      <c r="I108" s="1">
        <f>IF(COUNTIF('Transaction Data'!A:A,A108)&gt;5,20,0)+IF(COUNTIFS('Transaction Data'!A:A,A108,'Transaction Data'!G:G,"Yes")&gt;2,30,0)</f>
        <v>0</v>
      </c>
      <c r="J108">
        <f>'Client Master Data'!I108+'Client Master Data'!J108+H108+I108</f>
        <v>50</v>
      </c>
    </row>
    <row r="109" spans="1:10">
      <c r="A109">
        <v>1448</v>
      </c>
      <c r="B109" t="s">
        <v>776</v>
      </c>
      <c r="C109" t="s">
        <v>723</v>
      </c>
      <c r="D109">
        <v>250460</v>
      </c>
      <c r="E109" t="s">
        <v>588</v>
      </c>
      <c r="F109" t="s">
        <v>39</v>
      </c>
      <c r="G109" t="str">
        <f t="shared" si="2"/>
        <v>Yes</v>
      </c>
      <c r="H109">
        <f t="shared" si="3"/>
        <v>70</v>
      </c>
      <c r="I109" s="1">
        <f>IF(COUNTIF('Transaction Data'!A:A,A109)&gt;5,20,0)+IF(COUNTIFS('Transaction Data'!A:A,A109,'Transaction Data'!G:G,"Yes")&gt;2,30,0)</f>
        <v>30</v>
      </c>
      <c r="J109">
        <f>'Client Master Data'!I109+'Client Master Data'!J109+H109+I109</f>
        <v>140</v>
      </c>
    </row>
    <row r="110" spans="1:10">
      <c r="A110">
        <v>1472</v>
      </c>
      <c r="B110" t="s">
        <v>777</v>
      </c>
      <c r="C110" t="s">
        <v>778</v>
      </c>
      <c r="D110">
        <v>491709</v>
      </c>
      <c r="E110" t="s">
        <v>593</v>
      </c>
      <c r="F110" t="s">
        <v>39</v>
      </c>
      <c r="G110" t="str">
        <f t="shared" si="2"/>
        <v>Yes</v>
      </c>
      <c r="H110">
        <f t="shared" si="3"/>
        <v>70</v>
      </c>
      <c r="I110" s="1">
        <f>IF(COUNTIF('Transaction Data'!A:A,A110)&gt;5,20,0)+IF(COUNTIFS('Transaction Data'!A:A,A110,'Transaction Data'!G:G,"Yes")&gt;2,30,0)</f>
        <v>0</v>
      </c>
      <c r="J110">
        <f>'Client Master Data'!I110+'Client Master Data'!J110+H110+I110</f>
        <v>120</v>
      </c>
    </row>
    <row r="111" spans="1:10">
      <c r="A111">
        <v>1091</v>
      </c>
      <c r="B111" t="s">
        <v>779</v>
      </c>
      <c r="C111" t="s">
        <v>745</v>
      </c>
      <c r="D111">
        <v>235338</v>
      </c>
      <c r="E111" t="s">
        <v>593</v>
      </c>
      <c r="F111" t="s">
        <v>17</v>
      </c>
      <c r="G111" t="str">
        <f t="shared" si="2"/>
        <v>Yes</v>
      </c>
      <c r="H111">
        <f t="shared" si="3"/>
        <v>70</v>
      </c>
      <c r="I111" s="1">
        <f>IF(COUNTIF('Transaction Data'!A:A,A111)&gt;5,20,0)+IF(COUNTIFS('Transaction Data'!A:A,A111,'Transaction Data'!G:G,"Yes")&gt;2,30,0)</f>
        <v>0</v>
      </c>
      <c r="J111">
        <f>'Client Master Data'!I111+'Client Master Data'!J111+H111+I111</f>
        <v>100</v>
      </c>
    </row>
    <row r="112" spans="1:10">
      <c r="A112">
        <v>1098</v>
      </c>
      <c r="B112" t="s">
        <v>780</v>
      </c>
      <c r="C112" t="s">
        <v>707</v>
      </c>
      <c r="D112">
        <v>147302</v>
      </c>
      <c r="E112" t="s">
        <v>593</v>
      </c>
      <c r="F112" t="s">
        <v>54</v>
      </c>
      <c r="G112" t="str">
        <f t="shared" si="2"/>
        <v>Yes</v>
      </c>
      <c r="H112">
        <f t="shared" si="3"/>
        <v>70</v>
      </c>
      <c r="I112" s="1">
        <f>IF(COUNTIF('Transaction Data'!A:A,A112)&gt;5,20,0)+IF(COUNTIFS('Transaction Data'!A:A,A112,'Transaction Data'!G:G,"Yes")&gt;2,30,0)</f>
        <v>30</v>
      </c>
      <c r="J112">
        <f>'Client Master Data'!I112+'Client Master Data'!J112+H112+I112</f>
        <v>140</v>
      </c>
    </row>
    <row r="113" spans="1:10">
      <c r="A113">
        <v>1318</v>
      </c>
      <c r="B113" t="s">
        <v>781</v>
      </c>
      <c r="C113" t="s">
        <v>692</v>
      </c>
      <c r="D113">
        <v>77607</v>
      </c>
      <c r="E113" t="s">
        <v>588</v>
      </c>
      <c r="F113" t="s">
        <v>23</v>
      </c>
      <c r="G113" t="str">
        <f t="shared" si="2"/>
        <v>No</v>
      </c>
      <c r="H113">
        <f t="shared" si="3"/>
        <v>0</v>
      </c>
      <c r="I113" s="1">
        <f>IF(COUNTIF('Transaction Data'!A:A,A113)&gt;5,20,0)+IF(COUNTIFS('Transaction Data'!A:A,A113,'Transaction Data'!G:G,"Yes")&gt;2,30,0)</f>
        <v>0</v>
      </c>
      <c r="J113">
        <f>'Client Master Data'!I113+'Client Master Data'!J113+H113+I113</f>
        <v>30</v>
      </c>
    </row>
    <row r="114" spans="1:10">
      <c r="A114">
        <v>1475</v>
      </c>
      <c r="B114" t="s">
        <v>782</v>
      </c>
      <c r="C114" t="s">
        <v>673</v>
      </c>
      <c r="D114">
        <v>167296</v>
      </c>
      <c r="E114" t="s">
        <v>588</v>
      </c>
      <c r="F114" t="s">
        <v>39</v>
      </c>
      <c r="G114" t="str">
        <f t="shared" si="2"/>
        <v>Yes</v>
      </c>
      <c r="H114">
        <f t="shared" si="3"/>
        <v>70</v>
      </c>
      <c r="I114" s="1">
        <f>IF(COUNTIF('Transaction Data'!A:A,A114)&gt;5,20,0)+IF(COUNTIFS('Transaction Data'!A:A,A114,'Transaction Data'!G:G,"Yes")&gt;2,30,0)</f>
        <v>30</v>
      </c>
      <c r="J114">
        <f>'Client Master Data'!I114+'Client Master Data'!J114+H114+I114</f>
        <v>160</v>
      </c>
    </row>
    <row r="115" spans="1:10">
      <c r="A115">
        <v>1549</v>
      </c>
      <c r="B115" t="s">
        <v>783</v>
      </c>
      <c r="C115" t="s">
        <v>717</v>
      </c>
      <c r="D115">
        <v>419860</v>
      </c>
      <c r="E115" t="s">
        <v>588</v>
      </c>
      <c r="F115" t="s">
        <v>11</v>
      </c>
      <c r="G115" t="str">
        <f t="shared" si="2"/>
        <v>Yes</v>
      </c>
      <c r="H115">
        <f t="shared" si="3"/>
        <v>70</v>
      </c>
      <c r="I115" s="1">
        <f>IF(COUNTIF('Transaction Data'!A:A,A115)&gt;5,20,0)+IF(COUNTIFS('Transaction Data'!A:A,A115,'Transaction Data'!G:G,"Yes")&gt;2,30,0)</f>
        <v>30</v>
      </c>
      <c r="J115">
        <f>'Client Master Data'!I115+'Client Master Data'!J115+H115+I115</f>
        <v>150</v>
      </c>
    </row>
    <row r="116" spans="1:10">
      <c r="A116">
        <v>1416</v>
      </c>
      <c r="B116" t="s">
        <v>784</v>
      </c>
      <c r="C116" t="s">
        <v>785</v>
      </c>
      <c r="D116">
        <v>180089</v>
      </c>
      <c r="E116" t="s">
        <v>588</v>
      </c>
      <c r="F116" t="s">
        <v>23</v>
      </c>
      <c r="G116" t="str">
        <f t="shared" si="2"/>
        <v>Yes</v>
      </c>
      <c r="H116">
        <f t="shared" si="3"/>
        <v>70</v>
      </c>
      <c r="I116" s="1">
        <f>IF(COUNTIF('Transaction Data'!A:A,A116)&gt;5,20,0)+IF(COUNTIFS('Transaction Data'!A:A,A116,'Transaction Data'!G:G,"Yes")&gt;2,30,0)</f>
        <v>0</v>
      </c>
      <c r="J116">
        <f>'Client Master Data'!I116+'Client Master Data'!J116+H116+I116</f>
        <v>100</v>
      </c>
    </row>
    <row r="117" spans="1:10">
      <c r="A117">
        <v>1490</v>
      </c>
      <c r="B117" t="s">
        <v>786</v>
      </c>
      <c r="C117" t="s">
        <v>758</v>
      </c>
      <c r="D117">
        <v>275548</v>
      </c>
      <c r="E117" t="s">
        <v>593</v>
      </c>
      <c r="F117" t="s">
        <v>11</v>
      </c>
      <c r="G117" t="str">
        <f t="shared" si="2"/>
        <v>Yes</v>
      </c>
      <c r="H117">
        <f t="shared" si="3"/>
        <v>70</v>
      </c>
      <c r="I117" s="1">
        <f>IF(COUNTIF('Transaction Data'!A:A,A117)&gt;5,20,0)+IF(COUNTIFS('Transaction Data'!A:A,A117,'Transaction Data'!G:G,"Yes")&gt;2,30,0)</f>
        <v>30</v>
      </c>
      <c r="J117">
        <f>'Client Master Data'!I117+'Client Master Data'!J117+H117+I117</f>
        <v>130</v>
      </c>
    </row>
    <row r="118" spans="1:10">
      <c r="A118">
        <v>1107</v>
      </c>
      <c r="B118" t="s">
        <v>787</v>
      </c>
      <c r="C118" t="s">
        <v>633</v>
      </c>
      <c r="D118">
        <v>433517</v>
      </c>
      <c r="E118" t="s">
        <v>588</v>
      </c>
      <c r="F118" t="s">
        <v>17</v>
      </c>
      <c r="G118" t="str">
        <f t="shared" si="2"/>
        <v>Yes</v>
      </c>
      <c r="H118">
        <f t="shared" si="3"/>
        <v>70</v>
      </c>
      <c r="I118" s="1">
        <f>IF(COUNTIF('Transaction Data'!A:A,A118)&gt;5,20,0)+IF(COUNTIFS('Transaction Data'!A:A,A118,'Transaction Data'!G:G,"Yes")&gt;2,30,0)</f>
        <v>30</v>
      </c>
      <c r="J118">
        <f>'Client Master Data'!I118+'Client Master Data'!J118+H118+I118</f>
        <v>150</v>
      </c>
    </row>
    <row r="119" spans="1:10">
      <c r="A119">
        <v>1030</v>
      </c>
      <c r="B119" t="s">
        <v>788</v>
      </c>
      <c r="C119" t="s">
        <v>789</v>
      </c>
      <c r="D119">
        <v>275112</v>
      </c>
      <c r="E119" t="s">
        <v>588</v>
      </c>
      <c r="F119" t="s">
        <v>23</v>
      </c>
      <c r="G119" t="str">
        <f t="shared" si="2"/>
        <v>Yes</v>
      </c>
      <c r="H119">
        <f t="shared" si="3"/>
        <v>70</v>
      </c>
      <c r="I119" s="1">
        <f>IF(COUNTIF('Transaction Data'!A:A,A119)&gt;5,20,0)+IF(COUNTIFS('Transaction Data'!A:A,A119,'Transaction Data'!G:G,"Yes")&gt;2,30,0)</f>
        <v>30</v>
      </c>
      <c r="J119">
        <f>'Client Master Data'!I119+'Client Master Data'!J119+H119+I119</f>
        <v>120</v>
      </c>
    </row>
    <row r="120" spans="1:10">
      <c r="A120">
        <v>1527</v>
      </c>
      <c r="B120" t="s">
        <v>790</v>
      </c>
      <c r="C120" t="s">
        <v>756</v>
      </c>
      <c r="D120">
        <v>90445</v>
      </c>
      <c r="E120" t="s">
        <v>588</v>
      </c>
      <c r="F120" t="s">
        <v>23</v>
      </c>
      <c r="G120" t="str">
        <f t="shared" si="2"/>
        <v>No</v>
      </c>
      <c r="H120">
        <f t="shared" si="3"/>
        <v>0</v>
      </c>
      <c r="I120" s="1">
        <f>IF(COUNTIF('Transaction Data'!A:A,A120)&gt;5,20,0)+IF(COUNTIFS('Transaction Data'!A:A,A120,'Transaction Data'!G:G,"Yes")&gt;2,30,0)</f>
        <v>0</v>
      </c>
      <c r="J120">
        <f>'Client Master Data'!I120+'Client Master Data'!J120+H120+I120</f>
        <v>50</v>
      </c>
    </row>
    <row r="121" spans="1:10">
      <c r="A121">
        <v>1260</v>
      </c>
      <c r="B121" t="s">
        <v>791</v>
      </c>
      <c r="C121" t="s">
        <v>792</v>
      </c>
      <c r="D121">
        <v>418419</v>
      </c>
      <c r="E121" t="s">
        <v>600</v>
      </c>
      <c r="F121" t="s">
        <v>54</v>
      </c>
      <c r="G121" t="str">
        <f t="shared" si="2"/>
        <v>Yes</v>
      </c>
      <c r="H121">
        <f t="shared" si="3"/>
        <v>70</v>
      </c>
      <c r="I121" s="1">
        <f>IF(COUNTIF('Transaction Data'!A:A,A121)&gt;5,20,0)+IF(COUNTIFS('Transaction Data'!A:A,A121,'Transaction Data'!G:G,"Yes")&gt;2,30,0)</f>
        <v>0</v>
      </c>
      <c r="J121">
        <f>'Client Master Data'!I121+'Client Master Data'!J121+H121+I121</f>
        <v>140</v>
      </c>
    </row>
    <row r="122" spans="1:10">
      <c r="A122">
        <v>1543</v>
      </c>
      <c r="B122" t="s">
        <v>793</v>
      </c>
      <c r="C122" t="s">
        <v>640</v>
      </c>
      <c r="D122">
        <v>303691</v>
      </c>
      <c r="E122" t="s">
        <v>593</v>
      </c>
      <c r="F122" t="s">
        <v>11</v>
      </c>
      <c r="G122" t="str">
        <f t="shared" si="2"/>
        <v>Yes</v>
      </c>
      <c r="H122">
        <f t="shared" si="3"/>
        <v>70</v>
      </c>
      <c r="I122" s="1">
        <f>IF(COUNTIF('Transaction Data'!A:A,A122)&gt;5,20,0)+IF(COUNTIFS('Transaction Data'!A:A,A122,'Transaction Data'!G:G,"Yes")&gt;2,30,0)</f>
        <v>30</v>
      </c>
      <c r="J122">
        <f>'Client Master Data'!I122+'Client Master Data'!J122+H122+I122</f>
        <v>150</v>
      </c>
    </row>
    <row r="123" spans="1:10">
      <c r="A123">
        <v>1185</v>
      </c>
      <c r="B123" t="s">
        <v>794</v>
      </c>
      <c r="C123" t="s">
        <v>795</v>
      </c>
      <c r="D123">
        <v>365102</v>
      </c>
      <c r="E123" t="s">
        <v>600</v>
      </c>
      <c r="F123" t="s">
        <v>39</v>
      </c>
      <c r="G123" t="str">
        <f t="shared" si="2"/>
        <v>Yes</v>
      </c>
      <c r="H123">
        <f t="shared" si="3"/>
        <v>70</v>
      </c>
      <c r="I123" s="1">
        <f>IF(COUNTIF('Transaction Data'!A:A,A123)&gt;5,20,0)+IF(COUNTIFS('Transaction Data'!A:A,A123,'Transaction Data'!G:G,"Yes")&gt;2,30,0)</f>
        <v>30</v>
      </c>
      <c r="J123">
        <f>'Client Master Data'!I123+'Client Master Data'!J123+H123+I123</f>
        <v>150</v>
      </c>
    </row>
    <row r="124" spans="1:10">
      <c r="A124">
        <v>1405</v>
      </c>
      <c r="B124" t="s">
        <v>796</v>
      </c>
      <c r="C124" t="s">
        <v>602</v>
      </c>
      <c r="D124">
        <v>253545</v>
      </c>
      <c r="E124" t="s">
        <v>600</v>
      </c>
      <c r="F124" t="s">
        <v>23</v>
      </c>
      <c r="G124" t="str">
        <f t="shared" si="2"/>
        <v>Yes</v>
      </c>
      <c r="H124">
        <f t="shared" si="3"/>
        <v>70</v>
      </c>
      <c r="I124" s="1">
        <f>IF(COUNTIF('Transaction Data'!A:A,A124)&gt;5,20,0)+IF(COUNTIFS('Transaction Data'!A:A,A124,'Transaction Data'!G:G,"Yes")&gt;2,30,0)</f>
        <v>30</v>
      </c>
      <c r="J124">
        <f>'Client Master Data'!I124+'Client Master Data'!J124+H124+I124</f>
        <v>120</v>
      </c>
    </row>
    <row r="125" spans="1:10">
      <c r="A125">
        <v>1539</v>
      </c>
      <c r="B125" t="s">
        <v>797</v>
      </c>
      <c r="C125" t="s">
        <v>798</v>
      </c>
      <c r="D125">
        <v>222737</v>
      </c>
      <c r="E125" t="s">
        <v>588</v>
      </c>
      <c r="F125" t="s">
        <v>23</v>
      </c>
      <c r="G125" t="str">
        <f t="shared" si="2"/>
        <v>Yes</v>
      </c>
      <c r="H125">
        <f t="shared" si="3"/>
        <v>70</v>
      </c>
      <c r="I125" s="1">
        <f>IF(COUNTIF('Transaction Data'!A:A,A125)&gt;5,20,0)+IF(COUNTIFS('Transaction Data'!A:A,A125,'Transaction Data'!G:G,"Yes")&gt;2,30,0)</f>
        <v>0</v>
      </c>
      <c r="J125">
        <f>'Client Master Data'!I125+'Client Master Data'!J125+H125+I125</f>
        <v>100</v>
      </c>
    </row>
    <row r="126" spans="1:10">
      <c r="A126">
        <v>1483</v>
      </c>
      <c r="B126" t="s">
        <v>799</v>
      </c>
      <c r="C126" t="s">
        <v>658</v>
      </c>
      <c r="D126">
        <v>288068</v>
      </c>
      <c r="E126" t="s">
        <v>600</v>
      </c>
      <c r="F126" t="s">
        <v>54</v>
      </c>
      <c r="G126" t="str">
        <f t="shared" si="2"/>
        <v>Yes</v>
      </c>
      <c r="H126">
        <f t="shared" si="3"/>
        <v>70</v>
      </c>
      <c r="I126" s="1">
        <f>IF(COUNTIF('Transaction Data'!A:A,A126)&gt;5,20,0)+IF(COUNTIFS('Transaction Data'!A:A,A126,'Transaction Data'!G:G,"Yes")&gt;2,30,0)</f>
        <v>0</v>
      </c>
      <c r="J126">
        <f>'Client Master Data'!I126+'Client Master Data'!J126+H126+I126</f>
        <v>90</v>
      </c>
    </row>
    <row r="127" spans="1:10">
      <c r="A127">
        <v>1141</v>
      </c>
      <c r="B127" t="s">
        <v>800</v>
      </c>
      <c r="C127" t="s">
        <v>801</v>
      </c>
      <c r="D127">
        <v>443076</v>
      </c>
      <c r="E127" t="s">
        <v>588</v>
      </c>
      <c r="F127" t="s">
        <v>27</v>
      </c>
      <c r="G127" t="str">
        <f t="shared" si="2"/>
        <v>Yes</v>
      </c>
      <c r="H127">
        <f t="shared" si="3"/>
        <v>70</v>
      </c>
      <c r="I127" s="1">
        <f>IF(COUNTIF('Transaction Data'!A:A,A127)&gt;5,20,0)+IF(COUNTIFS('Transaction Data'!A:A,A127,'Transaction Data'!G:G,"Yes")&gt;2,30,0)</f>
        <v>0</v>
      </c>
      <c r="J127">
        <f>'Client Master Data'!I127+'Client Master Data'!J127+H127+I127</f>
        <v>120</v>
      </c>
    </row>
    <row r="128" spans="1:10">
      <c r="A128">
        <v>1223</v>
      </c>
      <c r="B128" t="s">
        <v>802</v>
      </c>
      <c r="C128" t="s">
        <v>682</v>
      </c>
      <c r="D128">
        <v>43774</v>
      </c>
      <c r="E128" t="s">
        <v>593</v>
      </c>
      <c r="F128" t="s">
        <v>23</v>
      </c>
      <c r="G128" t="str">
        <f t="shared" si="2"/>
        <v>No</v>
      </c>
      <c r="H128">
        <f t="shared" si="3"/>
        <v>0</v>
      </c>
      <c r="I128" s="1">
        <f>IF(COUNTIF('Transaction Data'!A:A,A128)&gt;5,20,0)+IF(COUNTIFS('Transaction Data'!A:A,A128,'Transaction Data'!G:G,"Yes")&gt;2,30,0)</f>
        <v>0</v>
      </c>
      <c r="J128">
        <f>'Client Master Data'!I128+'Client Master Data'!J128+H128+I128</f>
        <v>20</v>
      </c>
    </row>
    <row r="129" spans="1:10">
      <c r="A129">
        <v>1061</v>
      </c>
      <c r="B129" t="s">
        <v>803</v>
      </c>
      <c r="C129" t="s">
        <v>587</v>
      </c>
      <c r="D129">
        <v>246077</v>
      </c>
      <c r="E129" t="s">
        <v>588</v>
      </c>
      <c r="F129" t="s">
        <v>39</v>
      </c>
      <c r="G129" t="str">
        <f t="shared" si="2"/>
        <v>Yes</v>
      </c>
      <c r="H129">
        <f t="shared" si="3"/>
        <v>70</v>
      </c>
      <c r="I129" s="1">
        <f>IF(COUNTIF('Transaction Data'!A:A,A129)&gt;5,20,0)+IF(COUNTIFS('Transaction Data'!A:A,A129,'Transaction Data'!G:G,"Yes")&gt;2,30,0)</f>
        <v>30</v>
      </c>
      <c r="J129">
        <f>'Client Master Data'!I129+'Client Master Data'!J129+H129+I129</f>
        <v>150</v>
      </c>
    </row>
    <row r="130" spans="1:10">
      <c r="A130">
        <v>1253</v>
      </c>
      <c r="B130" t="s">
        <v>804</v>
      </c>
      <c r="C130" t="s">
        <v>754</v>
      </c>
      <c r="D130">
        <v>4471</v>
      </c>
      <c r="E130" t="s">
        <v>588</v>
      </c>
      <c r="F130" t="s">
        <v>27</v>
      </c>
      <c r="G130" t="str">
        <f t="shared" ref="G130:G193" si="4">IF(OR(D130&gt;100000,F130="UAE",F130="Nigeria"),"Yes","No")</f>
        <v>No</v>
      </c>
      <c r="H130">
        <f t="shared" si="3"/>
        <v>0</v>
      </c>
      <c r="I130" s="1">
        <f>IF(COUNTIF('Transaction Data'!A:A,A130)&gt;5,20,0)+IF(COUNTIFS('Transaction Data'!A:A,A130,'Transaction Data'!G:G,"Yes")&gt;2,30,0)</f>
        <v>0</v>
      </c>
      <c r="J130">
        <f>'Client Master Data'!I130+'Client Master Data'!J130+H130+I130</f>
        <v>30</v>
      </c>
    </row>
    <row r="131" spans="1:10">
      <c r="A131">
        <v>1513</v>
      </c>
      <c r="B131" t="s">
        <v>805</v>
      </c>
      <c r="C131" t="s">
        <v>751</v>
      </c>
      <c r="D131">
        <v>351759</v>
      </c>
      <c r="E131" t="s">
        <v>593</v>
      </c>
      <c r="F131" t="s">
        <v>23</v>
      </c>
      <c r="G131" t="str">
        <f t="shared" si="4"/>
        <v>Yes</v>
      </c>
      <c r="H131">
        <f t="shared" ref="H131:H194" si="5">IF(D131&gt;100000,30,0)+IF(TRIM(LOWER(G131))="yes",40,0)</f>
        <v>70</v>
      </c>
      <c r="I131" s="1">
        <f>IF(COUNTIF('Transaction Data'!A:A,A131)&gt;5,20,0)+IF(COUNTIFS('Transaction Data'!A:A,A131,'Transaction Data'!G:G,"Yes")&gt;2,30,0)</f>
        <v>30</v>
      </c>
      <c r="J131">
        <f>'Client Master Data'!I131+'Client Master Data'!J131+H131+I131</f>
        <v>120</v>
      </c>
    </row>
    <row r="132" spans="1:10">
      <c r="A132">
        <v>1458</v>
      </c>
      <c r="B132" t="s">
        <v>806</v>
      </c>
      <c r="C132" t="s">
        <v>807</v>
      </c>
      <c r="D132">
        <v>467391</v>
      </c>
      <c r="E132" t="s">
        <v>588</v>
      </c>
      <c r="F132" t="s">
        <v>39</v>
      </c>
      <c r="G132" t="str">
        <f t="shared" si="4"/>
        <v>Yes</v>
      </c>
      <c r="H132">
        <f t="shared" si="5"/>
        <v>70</v>
      </c>
      <c r="I132" s="1">
        <f>IF(COUNTIF('Transaction Data'!A:A,A132)&gt;5,20,0)+IF(COUNTIFS('Transaction Data'!A:A,A132,'Transaction Data'!G:G,"Yes")&gt;2,30,0)</f>
        <v>30</v>
      </c>
      <c r="J132">
        <f>'Client Master Data'!I132+'Client Master Data'!J132+H132+I132</f>
        <v>150</v>
      </c>
    </row>
    <row r="133" spans="1:10">
      <c r="A133">
        <v>1013</v>
      </c>
      <c r="B133" t="s">
        <v>808</v>
      </c>
      <c r="C133" t="s">
        <v>809</v>
      </c>
      <c r="D133">
        <v>3018</v>
      </c>
      <c r="E133" t="s">
        <v>588</v>
      </c>
      <c r="F133" t="s">
        <v>39</v>
      </c>
      <c r="G133" t="str">
        <f t="shared" si="4"/>
        <v>No</v>
      </c>
      <c r="H133">
        <f t="shared" si="5"/>
        <v>0</v>
      </c>
      <c r="I133" s="1">
        <f>IF(COUNTIF('Transaction Data'!A:A,A133)&gt;5,20,0)+IF(COUNTIFS('Transaction Data'!A:A,A133,'Transaction Data'!G:G,"Yes")&gt;2,30,0)</f>
        <v>0</v>
      </c>
      <c r="J133">
        <f>'Client Master Data'!I133+'Client Master Data'!J133+H133+I133</f>
        <v>50</v>
      </c>
    </row>
    <row r="134" spans="1:10">
      <c r="A134">
        <v>1230</v>
      </c>
      <c r="B134" t="s">
        <v>810</v>
      </c>
      <c r="C134" t="s">
        <v>811</v>
      </c>
      <c r="D134">
        <v>336034</v>
      </c>
      <c r="E134" t="s">
        <v>593</v>
      </c>
      <c r="F134" t="s">
        <v>39</v>
      </c>
      <c r="G134" t="str">
        <f t="shared" si="4"/>
        <v>Yes</v>
      </c>
      <c r="H134">
        <f t="shared" si="5"/>
        <v>70</v>
      </c>
      <c r="I134" s="1">
        <f>IF(COUNTIF('Transaction Data'!A:A,A134)&gt;5,20,0)+IF(COUNTIFS('Transaction Data'!A:A,A134,'Transaction Data'!G:G,"Yes")&gt;2,30,0)</f>
        <v>0</v>
      </c>
      <c r="J134">
        <f>'Client Master Data'!I134+'Client Master Data'!J134+H134+I134</f>
        <v>140</v>
      </c>
    </row>
    <row r="135" spans="1:10">
      <c r="A135">
        <v>1508</v>
      </c>
      <c r="B135" t="s">
        <v>812</v>
      </c>
      <c r="C135" t="s">
        <v>700</v>
      </c>
      <c r="D135">
        <v>343615</v>
      </c>
      <c r="E135" t="s">
        <v>593</v>
      </c>
      <c r="F135" t="s">
        <v>23</v>
      </c>
      <c r="G135" t="str">
        <f t="shared" si="4"/>
        <v>Yes</v>
      </c>
      <c r="H135">
        <f t="shared" si="5"/>
        <v>70</v>
      </c>
      <c r="I135" s="1">
        <f>IF(COUNTIF('Transaction Data'!A:A,A135)&gt;5,20,0)+IF(COUNTIFS('Transaction Data'!A:A,A135,'Transaction Data'!G:G,"Yes")&gt;2,30,0)</f>
        <v>30</v>
      </c>
      <c r="J135">
        <f>'Client Master Data'!I135+'Client Master Data'!J135+H135+I135</f>
        <v>170</v>
      </c>
    </row>
    <row r="136" spans="1:10">
      <c r="A136">
        <v>1414</v>
      </c>
      <c r="B136" t="s">
        <v>813</v>
      </c>
      <c r="C136" t="s">
        <v>698</v>
      </c>
      <c r="D136">
        <v>53335</v>
      </c>
      <c r="E136" t="s">
        <v>600</v>
      </c>
      <c r="F136" t="s">
        <v>39</v>
      </c>
      <c r="G136" t="str">
        <f t="shared" si="4"/>
        <v>No</v>
      </c>
      <c r="H136">
        <f t="shared" si="5"/>
        <v>0</v>
      </c>
      <c r="I136" s="1">
        <f>IF(COUNTIF('Transaction Data'!A:A,A136)&gt;5,20,0)+IF(COUNTIFS('Transaction Data'!A:A,A136,'Transaction Data'!G:G,"Yes")&gt;2,30,0)</f>
        <v>0</v>
      </c>
      <c r="J136">
        <f>'Client Master Data'!I136+'Client Master Data'!J136+H136+I136</f>
        <v>70</v>
      </c>
    </row>
    <row r="137" spans="1:10">
      <c r="A137">
        <v>1166</v>
      </c>
      <c r="B137" t="s">
        <v>814</v>
      </c>
      <c r="C137" t="s">
        <v>815</v>
      </c>
      <c r="D137">
        <v>18299</v>
      </c>
      <c r="E137" t="s">
        <v>593</v>
      </c>
      <c r="F137" t="s">
        <v>54</v>
      </c>
      <c r="G137" t="str">
        <f t="shared" si="4"/>
        <v>Yes</v>
      </c>
      <c r="H137">
        <f t="shared" si="5"/>
        <v>40</v>
      </c>
      <c r="I137" s="1">
        <f>IF(COUNTIF('Transaction Data'!A:A,A137)&gt;5,20,0)+IF(COUNTIFS('Transaction Data'!A:A,A137,'Transaction Data'!G:G,"Yes")&gt;2,30,0)</f>
        <v>0</v>
      </c>
      <c r="J137">
        <f>'Client Master Data'!I137+'Client Master Data'!J137+H137+I137</f>
        <v>70</v>
      </c>
    </row>
    <row r="138" spans="1:10">
      <c r="A138">
        <v>1396</v>
      </c>
      <c r="B138" t="s">
        <v>816</v>
      </c>
      <c r="C138" t="s">
        <v>723</v>
      </c>
      <c r="D138">
        <v>416090</v>
      </c>
      <c r="E138" t="s">
        <v>593</v>
      </c>
      <c r="F138" t="s">
        <v>39</v>
      </c>
      <c r="G138" t="str">
        <f t="shared" si="4"/>
        <v>Yes</v>
      </c>
      <c r="H138">
        <f t="shared" si="5"/>
        <v>70</v>
      </c>
      <c r="I138" s="1">
        <f>IF(COUNTIF('Transaction Data'!A:A,A138)&gt;5,20,0)+IF(COUNTIFS('Transaction Data'!A:A,A138,'Transaction Data'!G:G,"Yes")&gt;2,30,0)</f>
        <v>30</v>
      </c>
      <c r="J138">
        <f>'Client Master Data'!I138+'Client Master Data'!J138+H138+I138</f>
        <v>170</v>
      </c>
    </row>
    <row r="139" spans="1:10">
      <c r="A139">
        <v>1096</v>
      </c>
      <c r="B139" t="s">
        <v>817</v>
      </c>
      <c r="C139" t="s">
        <v>818</v>
      </c>
      <c r="D139">
        <v>148179</v>
      </c>
      <c r="E139" t="s">
        <v>593</v>
      </c>
      <c r="F139" t="s">
        <v>17</v>
      </c>
      <c r="G139" t="str">
        <f t="shared" si="4"/>
        <v>Yes</v>
      </c>
      <c r="H139">
        <f t="shared" si="5"/>
        <v>70</v>
      </c>
      <c r="I139" s="1">
        <f>IF(COUNTIF('Transaction Data'!A:A,A139)&gt;5,20,0)+IF(COUNTIFS('Transaction Data'!A:A,A139,'Transaction Data'!G:G,"Yes")&gt;2,30,0)</f>
        <v>30</v>
      </c>
      <c r="J139">
        <f>'Client Master Data'!I139+'Client Master Data'!J139+H139+I139</f>
        <v>130</v>
      </c>
    </row>
    <row r="140" spans="1:10">
      <c r="A140">
        <v>1365</v>
      </c>
      <c r="B140" t="s">
        <v>819</v>
      </c>
      <c r="C140" t="s">
        <v>820</v>
      </c>
      <c r="D140">
        <v>178078</v>
      </c>
      <c r="E140" t="s">
        <v>588</v>
      </c>
      <c r="F140" t="s">
        <v>17</v>
      </c>
      <c r="G140" t="str">
        <f t="shared" si="4"/>
        <v>Yes</v>
      </c>
      <c r="H140">
        <f t="shared" si="5"/>
        <v>70</v>
      </c>
      <c r="I140" s="1">
        <f>IF(COUNTIF('Transaction Data'!A:A,A140)&gt;5,20,0)+IF(COUNTIFS('Transaction Data'!A:A,A140,'Transaction Data'!G:G,"Yes")&gt;2,30,0)</f>
        <v>0</v>
      </c>
      <c r="J140">
        <f>'Client Master Data'!I140+'Client Master Data'!J140+H140+I140</f>
        <v>120</v>
      </c>
    </row>
    <row r="141" spans="1:10">
      <c r="A141">
        <v>1413</v>
      </c>
      <c r="B141" t="s">
        <v>821</v>
      </c>
      <c r="C141" t="s">
        <v>747</v>
      </c>
      <c r="D141">
        <v>426585</v>
      </c>
      <c r="E141" t="s">
        <v>593</v>
      </c>
      <c r="F141" t="s">
        <v>54</v>
      </c>
      <c r="G141" t="str">
        <f t="shared" si="4"/>
        <v>Yes</v>
      </c>
      <c r="H141">
        <f t="shared" si="5"/>
        <v>70</v>
      </c>
      <c r="I141" s="1">
        <f>IF(COUNTIF('Transaction Data'!A:A,A141)&gt;5,20,0)+IF(COUNTIFS('Transaction Data'!A:A,A141,'Transaction Data'!G:G,"Yes")&gt;2,30,0)</f>
        <v>30</v>
      </c>
      <c r="J141">
        <f>'Client Master Data'!I141+'Client Master Data'!J141+H141+I141</f>
        <v>170</v>
      </c>
    </row>
    <row r="142" spans="1:10">
      <c r="A142">
        <v>1524</v>
      </c>
      <c r="B142" t="s">
        <v>822</v>
      </c>
      <c r="C142" t="s">
        <v>646</v>
      </c>
      <c r="D142">
        <v>214185</v>
      </c>
      <c r="E142" t="s">
        <v>588</v>
      </c>
      <c r="F142" t="s">
        <v>17</v>
      </c>
      <c r="G142" t="str">
        <f t="shared" si="4"/>
        <v>Yes</v>
      </c>
      <c r="H142">
        <f t="shared" si="5"/>
        <v>70</v>
      </c>
      <c r="I142" s="1">
        <f>IF(COUNTIF('Transaction Data'!A:A,A142)&gt;5,20,0)+IF(COUNTIFS('Transaction Data'!A:A,A142,'Transaction Data'!G:G,"Yes")&gt;2,30,0)</f>
        <v>0</v>
      </c>
      <c r="J142">
        <f>'Client Master Data'!I142+'Client Master Data'!J142+H142+I142</f>
        <v>90</v>
      </c>
    </row>
    <row r="143" spans="1:10">
      <c r="A143">
        <v>1097</v>
      </c>
      <c r="B143" t="s">
        <v>823</v>
      </c>
      <c r="C143" t="s">
        <v>676</v>
      </c>
      <c r="D143">
        <v>196420</v>
      </c>
      <c r="E143" t="s">
        <v>593</v>
      </c>
      <c r="F143" t="s">
        <v>27</v>
      </c>
      <c r="G143" t="str">
        <f t="shared" si="4"/>
        <v>Yes</v>
      </c>
      <c r="H143">
        <f t="shared" si="5"/>
        <v>70</v>
      </c>
      <c r="I143" s="1">
        <f>IF(COUNTIF('Transaction Data'!A:A,A143)&gt;5,20,0)+IF(COUNTIFS('Transaction Data'!A:A,A143,'Transaction Data'!G:G,"Yes")&gt;2,30,0)</f>
        <v>30</v>
      </c>
      <c r="J143">
        <f>'Client Master Data'!I143+'Client Master Data'!J143+H143+I143</f>
        <v>150</v>
      </c>
    </row>
    <row r="144" spans="1:10">
      <c r="A144">
        <v>1264</v>
      </c>
      <c r="B144" t="s">
        <v>824</v>
      </c>
      <c r="C144" t="s">
        <v>740</v>
      </c>
      <c r="D144">
        <v>269356</v>
      </c>
      <c r="E144" t="s">
        <v>600</v>
      </c>
      <c r="F144" t="s">
        <v>17</v>
      </c>
      <c r="G144" t="str">
        <f t="shared" si="4"/>
        <v>Yes</v>
      </c>
      <c r="H144">
        <f t="shared" si="5"/>
        <v>70</v>
      </c>
      <c r="I144" s="1">
        <f>IF(COUNTIF('Transaction Data'!A:A,A144)&gt;5,20,0)+IF(COUNTIFS('Transaction Data'!A:A,A144,'Transaction Data'!G:G,"Yes")&gt;2,30,0)</f>
        <v>30</v>
      </c>
      <c r="J144">
        <f>'Client Master Data'!I144+'Client Master Data'!J144+H144+I144</f>
        <v>130</v>
      </c>
    </row>
    <row r="145" spans="1:10">
      <c r="A145">
        <v>1322</v>
      </c>
      <c r="B145" t="s">
        <v>825</v>
      </c>
      <c r="C145" t="s">
        <v>826</v>
      </c>
      <c r="D145">
        <v>472095</v>
      </c>
      <c r="E145" t="s">
        <v>593</v>
      </c>
      <c r="F145" t="s">
        <v>17</v>
      </c>
      <c r="G145" t="str">
        <f t="shared" si="4"/>
        <v>Yes</v>
      </c>
      <c r="H145">
        <f t="shared" si="5"/>
        <v>70</v>
      </c>
      <c r="I145" s="1">
        <f>IF(COUNTIF('Transaction Data'!A:A,A145)&gt;5,20,0)+IF(COUNTIFS('Transaction Data'!A:A,A145,'Transaction Data'!G:G,"Yes")&gt;2,30,0)</f>
        <v>0</v>
      </c>
      <c r="J145">
        <f>'Client Master Data'!I145+'Client Master Data'!J145+H145+I145</f>
        <v>120</v>
      </c>
    </row>
    <row r="146" spans="1:10">
      <c r="A146">
        <v>1179</v>
      </c>
      <c r="B146" t="s">
        <v>827</v>
      </c>
      <c r="C146" t="s">
        <v>828</v>
      </c>
      <c r="D146">
        <v>127117</v>
      </c>
      <c r="E146" t="s">
        <v>593</v>
      </c>
      <c r="F146" t="s">
        <v>17</v>
      </c>
      <c r="G146" t="str">
        <f t="shared" si="4"/>
        <v>Yes</v>
      </c>
      <c r="H146">
        <f t="shared" si="5"/>
        <v>70</v>
      </c>
      <c r="I146" s="1">
        <f>IF(COUNTIF('Transaction Data'!A:A,A146)&gt;5,20,0)+IF(COUNTIFS('Transaction Data'!A:A,A146,'Transaction Data'!G:G,"Yes")&gt;2,30,0)</f>
        <v>0</v>
      </c>
      <c r="J146">
        <f>'Client Master Data'!I146+'Client Master Data'!J146+H146+I146</f>
        <v>100</v>
      </c>
    </row>
    <row r="147" spans="1:10">
      <c r="A147">
        <v>1412</v>
      </c>
      <c r="B147" t="s">
        <v>829</v>
      </c>
      <c r="C147" t="s">
        <v>652</v>
      </c>
      <c r="D147">
        <v>267802</v>
      </c>
      <c r="E147" t="s">
        <v>600</v>
      </c>
      <c r="F147" t="s">
        <v>11</v>
      </c>
      <c r="G147" t="str">
        <f t="shared" si="4"/>
        <v>Yes</v>
      </c>
      <c r="H147">
        <f t="shared" si="5"/>
        <v>70</v>
      </c>
      <c r="I147" s="1">
        <f>IF(COUNTIF('Transaction Data'!A:A,A147)&gt;5,20,0)+IF(COUNTIFS('Transaction Data'!A:A,A147,'Transaction Data'!G:G,"Yes")&gt;2,30,0)</f>
        <v>0</v>
      </c>
      <c r="J147">
        <f>'Client Master Data'!I147+'Client Master Data'!J147+H147+I147</f>
        <v>120</v>
      </c>
    </row>
    <row r="148" spans="1:10">
      <c r="A148">
        <v>1460</v>
      </c>
      <c r="B148" t="s">
        <v>830</v>
      </c>
      <c r="C148" t="s">
        <v>831</v>
      </c>
      <c r="D148">
        <v>292506</v>
      </c>
      <c r="E148" t="s">
        <v>593</v>
      </c>
      <c r="F148" t="s">
        <v>17</v>
      </c>
      <c r="G148" t="str">
        <f t="shared" si="4"/>
        <v>Yes</v>
      </c>
      <c r="H148">
        <f t="shared" si="5"/>
        <v>70</v>
      </c>
      <c r="I148" s="1">
        <f>IF(COUNTIF('Transaction Data'!A:A,A148)&gt;5,20,0)+IF(COUNTIFS('Transaction Data'!A:A,A148,'Transaction Data'!G:G,"Yes")&gt;2,30,0)</f>
        <v>50</v>
      </c>
      <c r="J148">
        <f>'Client Master Data'!I148+'Client Master Data'!J148+H148+I148</f>
        <v>170</v>
      </c>
    </row>
    <row r="149" spans="1:10">
      <c r="A149">
        <v>1354</v>
      </c>
      <c r="B149" t="s">
        <v>832</v>
      </c>
      <c r="C149" t="s">
        <v>597</v>
      </c>
      <c r="D149">
        <v>462266</v>
      </c>
      <c r="E149" t="s">
        <v>600</v>
      </c>
      <c r="F149" t="s">
        <v>54</v>
      </c>
      <c r="G149" t="str">
        <f t="shared" si="4"/>
        <v>Yes</v>
      </c>
      <c r="H149">
        <f t="shared" si="5"/>
        <v>70</v>
      </c>
      <c r="I149" s="1">
        <f>IF(COUNTIF('Transaction Data'!A:A,A149)&gt;5,20,0)+IF(COUNTIFS('Transaction Data'!A:A,A149,'Transaction Data'!G:G,"Yes")&gt;2,30,0)</f>
        <v>0</v>
      </c>
      <c r="J149">
        <f>'Client Master Data'!I149+'Client Master Data'!J149+H149+I149</f>
        <v>120</v>
      </c>
    </row>
    <row r="150" spans="1:10">
      <c r="A150">
        <v>1080</v>
      </c>
      <c r="B150" t="s">
        <v>833</v>
      </c>
      <c r="C150" t="s">
        <v>775</v>
      </c>
      <c r="D150">
        <v>107366</v>
      </c>
      <c r="E150" t="s">
        <v>593</v>
      </c>
      <c r="F150" t="s">
        <v>17</v>
      </c>
      <c r="G150" t="str">
        <f t="shared" si="4"/>
        <v>Yes</v>
      </c>
      <c r="H150">
        <f t="shared" si="5"/>
        <v>70</v>
      </c>
      <c r="I150" s="1">
        <f>IF(COUNTIF('Transaction Data'!A:A,A150)&gt;5,20,0)+IF(COUNTIFS('Transaction Data'!A:A,A150,'Transaction Data'!G:G,"Yes")&gt;2,30,0)</f>
        <v>30</v>
      </c>
      <c r="J150">
        <f>'Client Master Data'!I150+'Client Master Data'!J150+H150+I150</f>
        <v>150</v>
      </c>
    </row>
    <row r="151" spans="1:10">
      <c r="A151">
        <v>1052</v>
      </c>
      <c r="B151" t="s">
        <v>834</v>
      </c>
      <c r="C151" t="s">
        <v>767</v>
      </c>
      <c r="D151">
        <v>320907</v>
      </c>
      <c r="E151" t="s">
        <v>588</v>
      </c>
      <c r="F151" t="s">
        <v>27</v>
      </c>
      <c r="G151" t="str">
        <f t="shared" si="4"/>
        <v>Yes</v>
      </c>
      <c r="H151">
        <f t="shared" si="5"/>
        <v>70</v>
      </c>
      <c r="I151" s="1">
        <f>IF(COUNTIF('Transaction Data'!A:A,A151)&gt;5,20,0)+IF(COUNTIFS('Transaction Data'!A:A,A151,'Transaction Data'!G:G,"Yes")&gt;2,30,0)</f>
        <v>0</v>
      </c>
      <c r="J151">
        <f>'Client Master Data'!I151+'Client Master Data'!J151+H151+I151</f>
        <v>120</v>
      </c>
    </row>
    <row r="152" spans="1:10">
      <c r="A152">
        <v>1219</v>
      </c>
      <c r="B152" t="s">
        <v>835</v>
      </c>
      <c r="C152" t="s">
        <v>836</v>
      </c>
      <c r="D152">
        <v>435321</v>
      </c>
      <c r="E152" t="s">
        <v>593</v>
      </c>
      <c r="F152" t="s">
        <v>27</v>
      </c>
      <c r="G152" t="str">
        <f t="shared" si="4"/>
        <v>Yes</v>
      </c>
      <c r="H152">
        <f t="shared" si="5"/>
        <v>70</v>
      </c>
      <c r="I152" s="1">
        <f>IF(COUNTIF('Transaction Data'!A:A,A152)&gt;5,20,0)+IF(COUNTIFS('Transaction Data'!A:A,A152,'Transaction Data'!G:G,"Yes")&gt;2,30,0)</f>
        <v>30</v>
      </c>
      <c r="J152">
        <f>'Client Master Data'!I152+'Client Master Data'!J152+H152+I152</f>
        <v>140</v>
      </c>
    </row>
    <row r="153" spans="1:10">
      <c r="A153">
        <v>1116</v>
      </c>
      <c r="B153" t="s">
        <v>837</v>
      </c>
      <c r="C153" t="s">
        <v>778</v>
      </c>
      <c r="D153">
        <v>54434</v>
      </c>
      <c r="E153" t="s">
        <v>593</v>
      </c>
      <c r="F153" t="s">
        <v>11</v>
      </c>
      <c r="G153" t="str">
        <f t="shared" si="4"/>
        <v>No</v>
      </c>
      <c r="H153">
        <f t="shared" si="5"/>
        <v>0</v>
      </c>
      <c r="I153" s="1">
        <f>IF(COUNTIF('Transaction Data'!A:A,A153)&gt;5,20,0)+IF(COUNTIFS('Transaction Data'!A:A,A153,'Transaction Data'!G:G,"Yes")&gt;2,30,0)</f>
        <v>0</v>
      </c>
      <c r="J153">
        <f>'Client Master Data'!I153+'Client Master Data'!J153+H153+I153</f>
        <v>40</v>
      </c>
    </row>
    <row r="154" spans="1:10">
      <c r="A154">
        <v>1498</v>
      </c>
      <c r="B154" t="s">
        <v>838</v>
      </c>
      <c r="C154" t="s">
        <v>839</v>
      </c>
      <c r="D154">
        <v>460359</v>
      </c>
      <c r="E154" t="s">
        <v>600</v>
      </c>
      <c r="F154" t="s">
        <v>39</v>
      </c>
      <c r="G154" t="str">
        <f t="shared" si="4"/>
        <v>Yes</v>
      </c>
      <c r="H154">
        <f t="shared" si="5"/>
        <v>70</v>
      </c>
      <c r="I154" s="1">
        <f>IF(COUNTIF('Transaction Data'!A:A,A154)&gt;5,20,0)+IF(COUNTIFS('Transaction Data'!A:A,A154,'Transaction Data'!G:G,"Yes")&gt;2,30,0)</f>
        <v>0</v>
      </c>
      <c r="J154">
        <f>'Client Master Data'!I154+'Client Master Data'!J154+H154+I154</f>
        <v>120</v>
      </c>
    </row>
    <row r="155" spans="1:10">
      <c r="A155">
        <v>1292</v>
      </c>
      <c r="B155" t="s">
        <v>840</v>
      </c>
      <c r="C155" t="s">
        <v>610</v>
      </c>
      <c r="D155">
        <v>389803</v>
      </c>
      <c r="E155" t="s">
        <v>593</v>
      </c>
      <c r="F155" t="s">
        <v>27</v>
      </c>
      <c r="G155" t="str">
        <f t="shared" si="4"/>
        <v>Yes</v>
      </c>
      <c r="H155">
        <f t="shared" si="5"/>
        <v>70</v>
      </c>
      <c r="I155" s="1">
        <f>IF(COUNTIF('Transaction Data'!A:A,A155)&gt;5,20,0)+IF(COUNTIFS('Transaction Data'!A:A,A155,'Transaction Data'!G:G,"Yes")&gt;2,30,0)</f>
        <v>0</v>
      </c>
      <c r="J155">
        <f>'Client Master Data'!I155+'Client Master Data'!J155+H155+I155</f>
        <v>120</v>
      </c>
    </row>
    <row r="156" spans="1:10">
      <c r="A156">
        <v>1309</v>
      </c>
      <c r="B156" t="s">
        <v>841</v>
      </c>
      <c r="C156" t="s">
        <v>842</v>
      </c>
      <c r="D156">
        <v>418284</v>
      </c>
      <c r="E156" t="s">
        <v>588</v>
      </c>
      <c r="F156" t="s">
        <v>27</v>
      </c>
      <c r="G156" t="str">
        <f t="shared" si="4"/>
        <v>Yes</v>
      </c>
      <c r="H156">
        <f t="shared" si="5"/>
        <v>70</v>
      </c>
      <c r="I156" s="1">
        <f>IF(COUNTIF('Transaction Data'!A:A,A156)&gt;5,20,0)+IF(COUNTIFS('Transaction Data'!A:A,A156,'Transaction Data'!G:G,"Yes")&gt;2,30,0)</f>
        <v>0</v>
      </c>
      <c r="J156">
        <f>'Client Master Data'!I156+'Client Master Data'!J156+H156+I156</f>
        <v>120</v>
      </c>
    </row>
    <row r="157" spans="1:10">
      <c r="A157">
        <v>1020</v>
      </c>
      <c r="B157" t="s">
        <v>843</v>
      </c>
      <c r="C157" t="s">
        <v>778</v>
      </c>
      <c r="D157">
        <v>232131</v>
      </c>
      <c r="E157" t="s">
        <v>588</v>
      </c>
      <c r="F157" t="s">
        <v>27</v>
      </c>
      <c r="G157" t="str">
        <f t="shared" si="4"/>
        <v>Yes</v>
      </c>
      <c r="H157">
        <f t="shared" si="5"/>
        <v>70</v>
      </c>
      <c r="I157" s="1">
        <f>IF(COUNTIF('Transaction Data'!A:A,A157)&gt;5,20,0)+IF(COUNTIFS('Transaction Data'!A:A,A157,'Transaction Data'!G:G,"Yes")&gt;2,30,0)</f>
        <v>30</v>
      </c>
      <c r="J157">
        <f>'Client Master Data'!I157+'Client Master Data'!J157+H157+I157</f>
        <v>150</v>
      </c>
    </row>
    <row r="158" spans="1:10">
      <c r="A158">
        <v>1426</v>
      </c>
      <c r="B158" t="s">
        <v>844</v>
      </c>
      <c r="C158" t="s">
        <v>845</v>
      </c>
      <c r="D158">
        <v>137269</v>
      </c>
      <c r="E158" t="s">
        <v>588</v>
      </c>
      <c r="F158" t="s">
        <v>23</v>
      </c>
      <c r="G158" t="str">
        <f t="shared" si="4"/>
        <v>Yes</v>
      </c>
      <c r="H158">
        <f t="shared" si="5"/>
        <v>70</v>
      </c>
      <c r="I158" s="1">
        <f>IF(COUNTIF('Transaction Data'!A:A,A158)&gt;5,20,0)+IF(COUNTIFS('Transaction Data'!A:A,A158,'Transaction Data'!G:G,"Yes")&gt;2,30,0)</f>
        <v>0</v>
      </c>
      <c r="J158">
        <f>'Client Master Data'!I158+'Client Master Data'!J158+H158+I158</f>
        <v>120</v>
      </c>
    </row>
    <row r="159" spans="1:10">
      <c r="A159">
        <v>1119</v>
      </c>
      <c r="B159" t="s">
        <v>846</v>
      </c>
      <c r="C159" t="s">
        <v>847</v>
      </c>
      <c r="D159">
        <v>264551</v>
      </c>
      <c r="E159" t="s">
        <v>600</v>
      </c>
      <c r="F159" t="s">
        <v>17</v>
      </c>
      <c r="G159" t="str">
        <f t="shared" si="4"/>
        <v>Yes</v>
      </c>
      <c r="H159">
        <f t="shared" si="5"/>
        <v>70</v>
      </c>
      <c r="I159" s="1">
        <f>IF(COUNTIF('Transaction Data'!A:A,A159)&gt;5,20,0)+IF(COUNTIFS('Transaction Data'!A:A,A159,'Transaction Data'!G:G,"Yes")&gt;2,30,0)</f>
        <v>30</v>
      </c>
      <c r="J159">
        <f>'Client Master Data'!I159+'Client Master Data'!J159+H159+I159</f>
        <v>130</v>
      </c>
    </row>
    <row r="160" spans="1:10">
      <c r="A160">
        <v>1533</v>
      </c>
      <c r="B160" t="s">
        <v>848</v>
      </c>
      <c r="C160" t="s">
        <v>849</v>
      </c>
      <c r="D160">
        <v>48917</v>
      </c>
      <c r="E160" t="s">
        <v>600</v>
      </c>
      <c r="F160" t="s">
        <v>27</v>
      </c>
      <c r="G160" t="str">
        <f t="shared" si="4"/>
        <v>No</v>
      </c>
      <c r="H160">
        <f t="shared" si="5"/>
        <v>0</v>
      </c>
      <c r="I160" s="1">
        <f>IF(COUNTIF('Transaction Data'!A:A,A160)&gt;5,20,0)+IF(COUNTIFS('Transaction Data'!A:A,A160,'Transaction Data'!G:G,"Yes")&gt;2,30,0)</f>
        <v>0</v>
      </c>
      <c r="J160">
        <f>'Client Master Data'!I160+'Client Master Data'!J160+H160+I160</f>
        <v>30</v>
      </c>
    </row>
    <row r="161" spans="1:10">
      <c r="A161">
        <v>1470</v>
      </c>
      <c r="B161" t="s">
        <v>850</v>
      </c>
      <c r="C161" t="s">
        <v>851</v>
      </c>
      <c r="D161">
        <v>369254</v>
      </c>
      <c r="E161" t="s">
        <v>600</v>
      </c>
      <c r="F161" t="s">
        <v>54</v>
      </c>
      <c r="G161" t="str">
        <f t="shared" si="4"/>
        <v>Yes</v>
      </c>
      <c r="H161">
        <f t="shared" si="5"/>
        <v>70</v>
      </c>
      <c r="I161" s="1">
        <f>IF(COUNTIF('Transaction Data'!A:A,A161)&gt;5,20,0)+IF(COUNTIFS('Transaction Data'!A:A,A161,'Transaction Data'!G:G,"Yes")&gt;2,30,0)</f>
        <v>30</v>
      </c>
      <c r="J161">
        <f>'Client Master Data'!I161+'Client Master Data'!J161+H161+I161</f>
        <v>130</v>
      </c>
    </row>
    <row r="162" spans="1:10">
      <c r="A162">
        <v>1267</v>
      </c>
      <c r="B162" t="s">
        <v>852</v>
      </c>
      <c r="C162" t="s">
        <v>853</v>
      </c>
      <c r="D162">
        <v>153869</v>
      </c>
      <c r="E162" t="s">
        <v>588</v>
      </c>
      <c r="F162" t="s">
        <v>27</v>
      </c>
      <c r="G162" t="str">
        <f t="shared" si="4"/>
        <v>Yes</v>
      </c>
      <c r="H162">
        <f t="shared" si="5"/>
        <v>70</v>
      </c>
      <c r="I162" s="1">
        <f>IF(COUNTIF('Transaction Data'!A:A,A162)&gt;5,20,0)+IF(COUNTIFS('Transaction Data'!A:A,A162,'Transaction Data'!G:G,"Yes")&gt;2,30,0)</f>
        <v>0</v>
      </c>
      <c r="J162">
        <f>'Client Master Data'!I162+'Client Master Data'!J162+H162+I162</f>
        <v>120</v>
      </c>
    </row>
    <row r="163" spans="1:10">
      <c r="A163">
        <v>1340</v>
      </c>
      <c r="B163" t="s">
        <v>854</v>
      </c>
      <c r="C163" t="s">
        <v>631</v>
      </c>
      <c r="D163">
        <v>268956</v>
      </c>
      <c r="E163" t="s">
        <v>588</v>
      </c>
      <c r="F163" t="s">
        <v>54</v>
      </c>
      <c r="G163" t="str">
        <f t="shared" si="4"/>
        <v>Yes</v>
      </c>
      <c r="H163">
        <f t="shared" si="5"/>
        <v>70</v>
      </c>
      <c r="I163" s="1">
        <f>IF(COUNTIF('Transaction Data'!A:A,A163)&gt;5,20,0)+IF(COUNTIFS('Transaction Data'!A:A,A163,'Transaction Data'!G:G,"Yes")&gt;2,30,0)</f>
        <v>30</v>
      </c>
      <c r="J163">
        <f>'Client Master Data'!I163+'Client Master Data'!J163+H163+I163</f>
        <v>150</v>
      </c>
    </row>
    <row r="164" spans="1:10">
      <c r="A164">
        <v>1528</v>
      </c>
      <c r="B164" t="s">
        <v>855</v>
      </c>
      <c r="C164" t="s">
        <v>856</v>
      </c>
      <c r="D164">
        <v>14847</v>
      </c>
      <c r="E164" t="s">
        <v>600</v>
      </c>
      <c r="F164" t="s">
        <v>54</v>
      </c>
      <c r="G164" t="str">
        <f t="shared" si="4"/>
        <v>Yes</v>
      </c>
      <c r="H164">
        <f t="shared" si="5"/>
        <v>40</v>
      </c>
      <c r="I164" s="1">
        <f>IF(COUNTIF('Transaction Data'!A:A,A164)&gt;5,20,0)+IF(COUNTIFS('Transaction Data'!A:A,A164,'Transaction Data'!G:G,"Yes")&gt;2,30,0)</f>
        <v>0</v>
      </c>
      <c r="J164">
        <f>'Client Master Data'!I164+'Client Master Data'!J164+H164+I164</f>
        <v>70</v>
      </c>
    </row>
    <row r="165" spans="1:10">
      <c r="A165">
        <v>1084</v>
      </c>
      <c r="B165" t="s">
        <v>857</v>
      </c>
      <c r="C165" t="s">
        <v>858</v>
      </c>
      <c r="D165">
        <v>302621</v>
      </c>
      <c r="E165" t="s">
        <v>588</v>
      </c>
      <c r="F165" t="s">
        <v>54</v>
      </c>
      <c r="G165" t="str">
        <f t="shared" si="4"/>
        <v>Yes</v>
      </c>
      <c r="H165">
        <f t="shared" si="5"/>
        <v>70</v>
      </c>
      <c r="I165" s="1">
        <f>IF(COUNTIF('Transaction Data'!A:A,A165)&gt;5,20,0)+IF(COUNTIFS('Transaction Data'!A:A,A165,'Transaction Data'!G:G,"Yes")&gt;2,30,0)</f>
        <v>0</v>
      </c>
      <c r="J165">
        <f>'Client Master Data'!I165+'Client Master Data'!J165+H165+I165</f>
        <v>120</v>
      </c>
    </row>
    <row r="166" spans="1:10">
      <c r="A166">
        <v>1150</v>
      </c>
      <c r="B166" t="s">
        <v>859</v>
      </c>
      <c r="C166" t="s">
        <v>614</v>
      </c>
      <c r="D166">
        <v>61981</v>
      </c>
      <c r="E166" t="s">
        <v>593</v>
      </c>
      <c r="F166" t="s">
        <v>23</v>
      </c>
      <c r="G166" t="str">
        <f t="shared" si="4"/>
        <v>No</v>
      </c>
      <c r="H166">
        <f t="shared" si="5"/>
        <v>0</v>
      </c>
      <c r="I166" s="1">
        <f>IF(COUNTIF('Transaction Data'!A:A,A166)&gt;5,20,0)+IF(COUNTIFS('Transaction Data'!A:A,A166,'Transaction Data'!G:G,"Yes")&gt;2,30,0)</f>
        <v>0</v>
      </c>
      <c r="J166">
        <f>'Client Master Data'!I166+'Client Master Data'!J166+H166+I166</f>
        <v>30</v>
      </c>
    </row>
    <row r="167" spans="1:10">
      <c r="A167">
        <v>1065</v>
      </c>
      <c r="B167" t="s">
        <v>860</v>
      </c>
      <c r="C167" t="s">
        <v>861</v>
      </c>
      <c r="D167">
        <v>129461</v>
      </c>
      <c r="E167" t="s">
        <v>588</v>
      </c>
      <c r="F167" t="s">
        <v>11</v>
      </c>
      <c r="G167" t="str">
        <f t="shared" si="4"/>
        <v>Yes</v>
      </c>
      <c r="H167">
        <f t="shared" si="5"/>
        <v>70</v>
      </c>
      <c r="I167" s="1">
        <f>IF(COUNTIF('Transaction Data'!A:A,A167)&gt;5,20,0)+IF(COUNTIFS('Transaction Data'!A:A,A167,'Transaction Data'!G:G,"Yes")&gt;2,30,0)</f>
        <v>0</v>
      </c>
      <c r="J167">
        <f>'Client Master Data'!I167+'Client Master Data'!J167+H167+I167</f>
        <v>120</v>
      </c>
    </row>
    <row r="168" spans="1:10">
      <c r="A168">
        <v>1107</v>
      </c>
      <c r="B168" t="s">
        <v>862</v>
      </c>
      <c r="C168" t="s">
        <v>863</v>
      </c>
      <c r="D168">
        <v>486096</v>
      </c>
      <c r="E168" t="s">
        <v>600</v>
      </c>
      <c r="F168" t="s">
        <v>27</v>
      </c>
      <c r="G168" t="str">
        <f t="shared" si="4"/>
        <v>Yes</v>
      </c>
      <c r="H168">
        <f t="shared" si="5"/>
        <v>70</v>
      </c>
      <c r="I168" s="1">
        <f>IF(COUNTIF('Transaction Data'!A:A,A168)&gt;5,20,0)+IF(COUNTIFS('Transaction Data'!A:A,A168,'Transaction Data'!G:G,"Yes")&gt;2,30,0)</f>
        <v>30</v>
      </c>
      <c r="J168">
        <f>'Client Master Data'!I168+'Client Master Data'!J168+H168+I168</f>
        <v>130</v>
      </c>
    </row>
    <row r="169" spans="1:10">
      <c r="A169">
        <v>1318</v>
      </c>
      <c r="B169" t="s">
        <v>864</v>
      </c>
      <c r="C169" t="s">
        <v>828</v>
      </c>
      <c r="D169">
        <v>193386</v>
      </c>
      <c r="E169" t="s">
        <v>593</v>
      </c>
      <c r="F169" t="s">
        <v>23</v>
      </c>
      <c r="G169" t="str">
        <f t="shared" si="4"/>
        <v>Yes</v>
      </c>
      <c r="H169">
        <f t="shared" si="5"/>
        <v>70</v>
      </c>
      <c r="I169" s="1">
        <f>IF(COUNTIF('Transaction Data'!A:A,A169)&gt;5,20,0)+IF(COUNTIFS('Transaction Data'!A:A,A169,'Transaction Data'!G:G,"Yes")&gt;2,30,0)</f>
        <v>0</v>
      </c>
      <c r="J169">
        <f>'Client Master Data'!I169+'Client Master Data'!J169+H169+I169</f>
        <v>130</v>
      </c>
    </row>
    <row r="170" spans="1:10">
      <c r="A170">
        <v>1468</v>
      </c>
      <c r="B170" t="s">
        <v>865</v>
      </c>
      <c r="C170" t="s">
        <v>866</v>
      </c>
      <c r="D170">
        <v>198409</v>
      </c>
      <c r="E170" t="s">
        <v>593</v>
      </c>
      <c r="F170" t="s">
        <v>27</v>
      </c>
      <c r="G170" t="str">
        <f t="shared" si="4"/>
        <v>Yes</v>
      </c>
      <c r="H170">
        <f t="shared" si="5"/>
        <v>70</v>
      </c>
      <c r="I170" s="1">
        <f>IF(COUNTIF('Transaction Data'!A:A,A170)&gt;5,20,0)+IF(COUNTIFS('Transaction Data'!A:A,A170,'Transaction Data'!G:G,"Yes")&gt;2,30,0)</f>
        <v>0</v>
      </c>
      <c r="J170">
        <f>'Client Master Data'!I170+'Client Master Data'!J170+H170+I170</f>
        <v>120</v>
      </c>
    </row>
    <row r="171" spans="1:10">
      <c r="A171">
        <v>1185</v>
      </c>
      <c r="B171" t="s">
        <v>867</v>
      </c>
      <c r="C171" t="s">
        <v>868</v>
      </c>
      <c r="D171">
        <v>337049</v>
      </c>
      <c r="E171" t="s">
        <v>593</v>
      </c>
      <c r="F171" t="s">
        <v>23</v>
      </c>
      <c r="G171" t="str">
        <f t="shared" si="4"/>
        <v>Yes</v>
      </c>
      <c r="H171">
        <f t="shared" si="5"/>
        <v>70</v>
      </c>
      <c r="I171" s="1">
        <f>IF(COUNTIF('Transaction Data'!A:A,A171)&gt;5,20,0)+IF(COUNTIFS('Transaction Data'!A:A,A171,'Transaction Data'!G:G,"Yes")&gt;2,30,0)</f>
        <v>30</v>
      </c>
      <c r="J171">
        <f>'Client Master Data'!I171+'Client Master Data'!J171+H171+I171</f>
        <v>130</v>
      </c>
    </row>
    <row r="172" spans="1:10">
      <c r="A172">
        <v>1275</v>
      </c>
      <c r="B172" t="s">
        <v>869</v>
      </c>
      <c r="C172" t="s">
        <v>870</v>
      </c>
      <c r="D172">
        <v>462403</v>
      </c>
      <c r="E172" t="s">
        <v>588</v>
      </c>
      <c r="F172" t="s">
        <v>23</v>
      </c>
      <c r="G172" t="str">
        <f t="shared" si="4"/>
        <v>Yes</v>
      </c>
      <c r="H172">
        <f t="shared" si="5"/>
        <v>70</v>
      </c>
      <c r="I172" s="1">
        <f>IF(COUNTIF('Transaction Data'!A:A,A172)&gt;5,20,0)+IF(COUNTIFS('Transaction Data'!A:A,A172,'Transaction Data'!G:G,"Yes")&gt;2,30,0)</f>
        <v>0</v>
      </c>
      <c r="J172">
        <f>'Client Master Data'!I172+'Client Master Data'!J172+H172+I172</f>
        <v>110</v>
      </c>
    </row>
    <row r="173" spans="1:10">
      <c r="A173">
        <v>1135</v>
      </c>
      <c r="B173" t="s">
        <v>871</v>
      </c>
      <c r="C173" t="s">
        <v>618</v>
      </c>
      <c r="D173">
        <v>27169</v>
      </c>
      <c r="E173" t="s">
        <v>593</v>
      </c>
      <c r="F173" t="s">
        <v>54</v>
      </c>
      <c r="G173" t="str">
        <f t="shared" si="4"/>
        <v>Yes</v>
      </c>
      <c r="H173">
        <f t="shared" si="5"/>
        <v>40</v>
      </c>
      <c r="I173" s="1">
        <f>IF(COUNTIF('Transaction Data'!A:A,A173)&gt;5,20,0)+IF(COUNTIFS('Transaction Data'!A:A,A173,'Transaction Data'!G:G,"Yes")&gt;2,30,0)</f>
        <v>0</v>
      </c>
      <c r="J173">
        <f>'Client Master Data'!I173+'Client Master Data'!J173+H173+I173</f>
        <v>80</v>
      </c>
    </row>
    <row r="174" spans="1:10">
      <c r="A174">
        <v>1319</v>
      </c>
      <c r="B174" t="s">
        <v>872</v>
      </c>
      <c r="C174" t="s">
        <v>861</v>
      </c>
      <c r="D174">
        <v>74598</v>
      </c>
      <c r="E174" t="s">
        <v>588</v>
      </c>
      <c r="F174" t="s">
        <v>23</v>
      </c>
      <c r="G174" t="str">
        <f t="shared" si="4"/>
        <v>No</v>
      </c>
      <c r="H174">
        <f t="shared" si="5"/>
        <v>0</v>
      </c>
      <c r="I174" s="1">
        <f>IF(COUNTIF('Transaction Data'!A:A,A174)&gt;5,20,0)+IF(COUNTIFS('Transaction Data'!A:A,A174,'Transaction Data'!G:G,"Yes")&gt;2,30,0)</f>
        <v>0</v>
      </c>
      <c r="J174">
        <f>'Client Master Data'!I174+'Client Master Data'!J174+H174+I174</f>
        <v>20</v>
      </c>
    </row>
    <row r="175" spans="1:10">
      <c r="A175">
        <v>1497</v>
      </c>
      <c r="B175" t="s">
        <v>873</v>
      </c>
      <c r="C175" t="s">
        <v>747</v>
      </c>
      <c r="D175">
        <v>198257</v>
      </c>
      <c r="E175" t="s">
        <v>593</v>
      </c>
      <c r="F175" t="s">
        <v>17</v>
      </c>
      <c r="G175" t="str">
        <f t="shared" si="4"/>
        <v>Yes</v>
      </c>
      <c r="H175">
        <f t="shared" si="5"/>
        <v>70</v>
      </c>
      <c r="I175" s="1">
        <f>IF(COUNTIF('Transaction Data'!A:A,A175)&gt;5,20,0)+IF(COUNTIFS('Transaction Data'!A:A,A175,'Transaction Data'!G:G,"Yes")&gt;2,30,0)</f>
        <v>30</v>
      </c>
      <c r="J175">
        <f>'Client Master Data'!I175+'Client Master Data'!J175+H175+I175</f>
        <v>170</v>
      </c>
    </row>
    <row r="176" spans="1:10">
      <c r="A176">
        <v>1144</v>
      </c>
      <c r="B176" t="s">
        <v>874</v>
      </c>
      <c r="C176" t="s">
        <v>731</v>
      </c>
      <c r="D176">
        <v>446643</v>
      </c>
      <c r="E176" t="s">
        <v>600</v>
      </c>
      <c r="F176" t="s">
        <v>17</v>
      </c>
      <c r="G176" t="str">
        <f t="shared" si="4"/>
        <v>Yes</v>
      </c>
      <c r="H176">
        <f t="shared" si="5"/>
        <v>70</v>
      </c>
      <c r="I176" s="1">
        <f>IF(COUNTIF('Transaction Data'!A:A,A176)&gt;5,20,0)+IF(COUNTIFS('Transaction Data'!A:A,A176,'Transaction Data'!G:G,"Yes")&gt;2,30,0)</f>
        <v>0</v>
      </c>
      <c r="J176">
        <f>'Client Master Data'!I176+'Client Master Data'!J176+H176+I176</f>
        <v>120</v>
      </c>
    </row>
    <row r="177" spans="1:10">
      <c r="A177">
        <v>1272</v>
      </c>
      <c r="B177" t="s">
        <v>875</v>
      </c>
      <c r="C177" t="s">
        <v>876</v>
      </c>
      <c r="D177">
        <v>368967</v>
      </c>
      <c r="E177" t="s">
        <v>588</v>
      </c>
      <c r="F177" t="s">
        <v>11</v>
      </c>
      <c r="G177" t="str">
        <f t="shared" si="4"/>
        <v>Yes</v>
      </c>
      <c r="H177">
        <f t="shared" si="5"/>
        <v>70</v>
      </c>
      <c r="I177" s="1">
        <f>IF(COUNTIF('Transaction Data'!A:A,A177)&gt;5,20,0)+IF(COUNTIFS('Transaction Data'!A:A,A177,'Transaction Data'!G:G,"Yes")&gt;2,30,0)</f>
        <v>0</v>
      </c>
      <c r="J177">
        <f>'Client Master Data'!I177+'Client Master Data'!J177+H177+I177</f>
        <v>120</v>
      </c>
    </row>
    <row r="178" spans="1:10">
      <c r="A178">
        <v>1030</v>
      </c>
      <c r="B178" t="s">
        <v>877</v>
      </c>
      <c r="C178" t="s">
        <v>878</v>
      </c>
      <c r="D178">
        <v>142630</v>
      </c>
      <c r="E178" t="s">
        <v>600</v>
      </c>
      <c r="F178" t="s">
        <v>11</v>
      </c>
      <c r="G178" t="str">
        <f t="shared" si="4"/>
        <v>Yes</v>
      </c>
      <c r="H178">
        <f t="shared" si="5"/>
        <v>70</v>
      </c>
      <c r="I178" s="1">
        <f>IF(COUNTIF('Transaction Data'!A:A,A178)&gt;5,20,0)+IF(COUNTIFS('Transaction Data'!A:A,A178,'Transaction Data'!G:G,"Yes")&gt;2,30,0)</f>
        <v>30</v>
      </c>
      <c r="J178">
        <f>'Client Master Data'!I178+'Client Master Data'!J178+H178+I178</f>
        <v>130</v>
      </c>
    </row>
    <row r="179" spans="1:10">
      <c r="A179">
        <v>1266</v>
      </c>
      <c r="B179" t="s">
        <v>879</v>
      </c>
      <c r="C179" t="s">
        <v>878</v>
      </c>
      <c r="D179">
        <v>33478</v>
      </c>
      <c r="E179" t="s">
        <v>588</v>
      </c>
      <c r="F179" t="s">
        <v>54</v>
      </c>
      <c r="G179" t="str">
        <f t="shared" si="4"/>
        <v>Yes</v>
      </c>
      <c r="H179">
        <f t="shared" si="5"/>
        <v>40</v>
      </c>
      <c r="I179" s="1">
        <f>IF(COUNTIF('Transaction Data'!A:A,A179)&gt;5,20,0)+IF(COUNTIFS('Transaction Data'!A:A,A179,'Transaction Data'!G:G,"Yes")&gt;2,30,0)</f>
        <v>30</v>
      </c>
      <c r="J179">
        <f>'Client Master Data'!I179+'Client Master Data'!J179+H179+I179</f>
        <v>90</v>
      </c>
    </row>
    <row r="180" spans="1:10">
      <c r="A180">
        <v>1025</v>
      </c>
      <c r="B180" t="s">
        <v>880</v>
      </c>
      <c r="C180" t="s">
        <v>881</v>
      </c>
      <c r="D180">
        <v>414506</v>
      </c>
      <c r="E180" t="s">
        <v>600</v>
      </c>
      <c r="F180" t="s">
        <v>23</v>
      </c>
      <c r="G180" t="str">
        <f t="shared" si="4"/>
        <v>Yes</v>
      </c>
      <c r="H180">
        <f t="shared" si="5"/>
        <v>70</v>
      </c>
      <c r="I180" s="1">
        <f>IF(COUNTIF('Transaction Data'!A:A,A180)&gt;5,20,0)+IF(COUNTIFS('Transaction Data'!A:A,A180,'Transaction Data'!G:G,"Yes")&gt;2,30,0)</f>
        <v>0</v>
      </c>
      <c r="J180">
        <f>'Client Master Data'!I180+'Client Master Data'!J180+H180+I180</f>
        <v>100</v>
      </c>
    </row>
    <row r="181" spans="1:10">
      <c r="A181">
        <v>1064</v>
      </c>
      <c r="B181" t="s">
        <v>882</v>
      </c>
      <c r="C181" t="s">
        <v>815</v>
      </c>
      <c r="D181">
        <v>7690</v>
      </c>
      <c r="E181" t="s">
        <v>588</v>
      </c>
      <c r="F181" t="s">
        <v>27</v>
      </c>
      <c r="G181" t="str">
        <f t="shared" si="4"/>
        <v>No</v>
      </c>
      <c r="H181">
        <f t="shared" si="5"/>
        <v>0</v>
      </c>
      <c r="I181" s="1">
        <f>IF(COUNTIF('Transaction Data'!A:A,A181)&gt;5,20,0)+IF(COUNTIFS('Transaction Data'!A:A,A181,'Transaction Data'!G:G,"Yes")&gt;2,30,0)</f>
        <v>0</v>
      </c>
      <c r="J181">
        <f>'Client Master Data'!I181+'Client Master Data'!J181+H181+I181</f>
        <v>60</v>
      </c>
    </row>
    <row r="182" spans="1:10">
      <c r="A182">
        <v>1471</v>
      </c>
      <c r="B182" t="s">
        <v>883</v>
      </c>
      <c r="C182" t="s">
        <v>618</v>
      </c>
      <c r="D182">
        <v>356658</v>
      </c>
      <c r="E182" t="s">
        <v>593</v>
      </c>
      <c r="F182" t="s">
        <v>54</v>
      </c>
      <c r="G182" t="str">
        <f t="shared" si="4"/>
        <v>Yes</v>
      </c>
      <c r="H182">
        <f t="shared" si="5"/>
        <v>70</v>
      </c>
      <c r="I182" s="1">
        <f>IF(COUNTIF('Transaction Data'!A:A,A182)&gt;5,20,0)+IF(COUNTIFS('Transaction Data'!A:A,A182,'Transaction Data'!G:G,"Yes")&gt;2,30,0)</f>
        <v>0</v>
      </c>
      <c r="J182">
        <f>'Client Master Data'!I182+'Client Master Data'!J182+H182+I182</f>
        <v>140</v>
      </c>
    </row>
    <row r="183" spans="1:10">
      <c r="A183">
        <v>1433</v>
      </c>
      <c r="B183" t="s">
        <v>884</v>
      </c>
      <c r="C183" t="s">
        <v>815</v>
      </c>
      <c r="D183">
        <v>222185</v>
      </c>
      <c r="E183" t="s">
        <v>593</v>
      </c>
      <c r="F183" t="s">
        <v>54</v>
      </c>
      <c r="G183" t="str">
        <f t="shared" si="4"/>
        <v>Yes</v>
      </c>
      <c r="H183">
        <f t="shared" si="5"/>
        <v>70</v>
      </c>
      <c r="I183" s="1">
        <f>IF(COUNTIF('Transaction Data'!A:A,A183)&gt;5,20,0)+IF(COUNTIFS('Transaction Data'!A:A,A183,'Transaction Data'!G:G,"Yes")&gt;2,30,0)</f>
        <v>0</v>
      </c>
      <c r="J183">
        <f>'Client Master Data'!I183+'Client Master Data'!J183+H183+I183</f>
        <v>140</v>
      </c>
    </row>
    <row r="184" spans="1:10">
      <c r="A184">
        <v>1379</v>
      </c>
      <c r="B184" t="s">
        <v>885</v>
      </c>
      <c r="C184" t="s">
        <v>886</v>
      </c>
      <c r="D184">
        <v>353571</v>
      </c>
      <c r="E184" t="s">
        <v>600</v>
      </c>
      <c r="F184" t="s">
        <v>23</v>
      </c>
      <c r="G184" t="str">
        <f t="shared" si="4"/>
        <v>Yes</v>
      </c>
      <c r="H184">
        <f t="shared" si="5"/>
        <v>70</v>
      </c>
      <c r="I184" s="1">
        <f>IF(COUNTIF('Transaction Data'!A:A,A184)&gt;5,20,0)+IF(COUNTIFS('Transaction Data'!A:A,A184,'Transaction Data'!G:G,"Yes")&gt;2,30,0)</f>
        <v>0</v>
      </c>
      <c r="J184">
        <f>'Client Master Data'!I184+'Client Master Data'!J184+H184+I184</f>
        <v>120</v>
      </c>
    </row>
    <row r="185" spans="1:10">
      <c r="A185">
        <v>1319</v>
      </c>
      <c r="B185" t="s">
        <v>887</v>
      </c>
      <c r="C185" t="s">
        <v>888</v>
      </c>
      <c r="D185">
        <v>4090</v>
      </c>
      <c r="E185" t="s">
        <v>600</v>
      </c>
      <c r="F185" t="s">
        <v>39</v>
      </c>
      <c r="G185" t="str">
        <f t="shared" si="4"/>
        <v>No</v>
      </c>
      <c r="H185">
        <f t="shared" si="5"/>
        <v>0</v>
      </c>
      <c r="I185" s="1">
        <f>IF(COUNTIF('Transaction Data'!A:A,A185)&gt;5,20,0)+IF(COUNTIFS('Transaction Data'!A:A,A185,'Transaction Data'!G:G,"Yes")&gt;2,30,0)</f>
        <v>0</v>
      </c>
      <c r="J185">
        <f>'Client Master Data'!I185+'Client Master Data'!J185+H185+I185</f>
        <v>50</v>
      </c>
    </row>
    <row r="186" spans="1:10">
      <c r="A186">
        <v>1067</v>
      </c>
      <c r="B186" t="s">
        <v>889</v>
      </c>
      <c r="C186" t="s">
        <v>876</v>
      </c>
      <c r="D186">
        <v>282890</v>
      </c>
      <c r="E186" t="s">
        <v>600</v>
      </c>
      <c r="F186" t="s">
        <v>27</v>
      </c>
      <c r="G186" t="str">
        <f t="shared" si="4"/>
        <v>Yes</v>
      </c>
      <c r="H186">
        <f t="shared" si="5"/>
        <v>70</v>
      </c>
      <c r="I186" s="1">
        <f>IF(COUNTIF('Transaction Data'!A:A,A186)&gt;5,20,0)+IF(COUNTIFS('Transaction Data'!A:A,A186,'Transaction Data'!G:G,"Yes")&gt;2,30,0)</f>
        <v>0</v>
      </c>
      <c r="J186">
        <f>'Client Master Data'!I186+'Client Master Data'!J186+H186+I186</f>
        <v>100</v>
      </c>
    </row>
    <row r="187" spans="1:10">
      <c r="A187">
        <v>1325</v>
      </c>
      <c r="B187" t="s">
        <v>890</v>
      </c>
      <c r="C187" t="s">
        <v>610</v>
      </c>
      <c r="D187">
        <v>459259</v>
      </c>
      <c r="E187" t="s">
        <v>593</v>
      </c>
      <c r="F187" t="s">
        <v>27</v>
      </c>
      <c r="G187" t="str">
        <f t="shared" si="4"/>
        <v>Yes</v>
      </c>
      <c r="H187">
        <f t="shared" si="5"/>
        <v>70</v>
      </c>
      <c r="I187" s="1">
        <f>IF(COUNTIF('Transaction Data'!A:A,A187)&gt;5,20,0)+IF(COUNTIFS('Transaction Data'!A:A,A187,'Transaction Data'!G:G,"Yes")&gt;2,30,0)</f>
        <v>30</v>
      </c>
      <c r="J187">
        <f>'Client Master Data'!I187+'Client Master Data'!J187+H187+I187</f>
        <v>150</v>
      </c>
    </row>
    <row r="188" spans="1:10">
      <c r="A188">
        <v>1465</v>
      </c>
      <c r="B188" t="s">
        <v>891</v>
      </c>
      <c r="C188" t="s">
        <v>635</v>
      </c>
      <c r="D188">
        <v>404182</v>
      </c>
      <c r="E188" t="s">
        <v>593</v>
      </c>
      <c r="F188" t="s">
        <v>27</v>
      </c>
      <c r="G188" t="str">
        <f t="shared" si="4"/>
        <v>Yes</v>
      </c>
      <c r="H188">
        <f t="shared" si="5"/>
        <v>70</v>
      </c>
      <c r="I188" s="1">
        <f>IF(COUNTIF('Transaction Data'!A:A,A188)&gt;5,20,0)+IF(COUNTIFS('Transaction Data'!A:A,A188,'Transaction Data'!G:G,"Yes")&gt;2,30,0)</f>
        <v>30</v>
      </c>
      <c r="J188">
        <f>'Client Master Data'!I188+'Client Master Data'!J188+H188+I188</f>
        <v>150</v>
      </c>
    </row>
    <row r="189" spans="1:10">
      <c r="A189">
        <v>1436</v>
      </c>
      <c r="B189" t="s">
        <v>892</v>
      </c>
      <c r="C189" t="s">
        <v>754</v>
      </c>
      <c r="D189">
        <v>17697</v>
      </c>
      <c r="E189" t="s">
        <v>593</v>
      </c>
      <c r="F189" t="s">
        <v>39</v>
      </c>
      <c r="G189" t="str">
        <f t="shared" si="4"/>
        <v>No</v>
      </c>
      <c r="H189">
        <f t="shared" si="5"/>
        <v>0</v>
      </c>
      <c r="I189" s="1">
        <f>IF(COUNTIF('Transaction Data'!A:A,A189)&gt;5,20,0)+IF(COUNTIFS('Transaction Data'!A:A,A189,'Transaction Data'!G:G,"Yes")&gt;2,30,0)</f>
        <v>0</v>
      </c>
      <c r="J189">
        <f>'Client Master Data'!I189+'Client Master Data'!J189+H189+I189</f>
        <v>70</v>
      </c>
    </row>
    <row r="190" spans="1:10">
      <c r="A190">
        <v>1355</v>
      </c>
      <c r="B190" t="s">
        <v>893</v>
      </c>
      <c r="C190" t="s">
        <v>758</v>
      </c>
      <c r="D190">
        <v>17198</v>
      </c>
      <c r="E190" t="s">
        <v>588</v>
      </c>
      <c r="F190" t="s">
        <v>39</v>
      </c>
      <c r="G190" t="str">
        <f t="shared" si="4"/>
        <v>No</v>
      </c>
      <c r="H190">
        <f t="shared" si="5"/>
        <v>0</v>
      </c>
      <c r="I190" s="1">
        <f>IF(COUNTIF('Transaction Data'!A:A,A190)&gt;5,20,0)+IF(COUNTIFS('Transaction Data'!A:A,A190,'Transaction Data'!G:G,"Yes")&gt;2,30,0)</f>
        <v>0</v>
      </c>
      <c r="J190">
        <f>'Client Master Data'!I190+'Client Master Data'!J190+H190+I190</f>
        <v>70</v>
      </c>
    </row>
    <row r="191" spans="1:10">
      <c r="A191">
        <v>1291</v>
      </c>
      <c r="B191" t="s">
        <v>894</v>
      </c>
      <c r="C191" t="s">
        <v>895</v>
      </c>
      <c r="D191">
        <v>436095</v>
      </c>
      <c r="E191" t="s">
        <v>588</v>
      </c>
      <c r="F191" t="s">
        <v>27</v>
      </c>
      <c r="G191" t="str">
        <f t="shared" si="4"/>
        <v>Yes</v>
      </c>
      <c r="H191">
        <f t="shared" si="5"/>
        <v>70</v>
      </c>
      <c r="I191" s="1">
        <f>IF(COUNTIF('Transaction Data'!A:A,A191)&gt;5,20,0)+IF(COUNTIFS('Transaction Data'!A:A,A191,'Transaction Data'!G:G,"Yes")&gt;2,30,0)</f>
        <v>30</v>
      </c>
      <c r="J191">
        <f>'Client Master Data'!I191+'Client Master Data'!J191+H191+I191</f>
        <v>150</v>
      </c>
    </row>
    <row r="192" spans="1:10">
      <c r="A192">
        <v>1524</v>
      </c>
      <c r="B192" t="s">
        <v>896</v>
      </c>
      <c r="C192" t="s">
        <v>897</v>
      </c>
      <c r="D192">
        <v>202068</v>
      </c>
      <c r="E192" t="s">
        <v>588</v>
      </c>
      <c r="F192" t="s">
        <v>39</v>
      </c>
      <c r="G192" t="str">
        <f t="shared" si="4"/>
        <v>Yes</v>
      </c>
      <c r="H192">
        <f t="shared" si="5"/>
        <v>70</v>
      </c>
      <c r="I192" s="1">
        <f>IF(COUNTIF('Transaction Data'!A:A,A192)&gt;5,20,0)+IF(COUNTIFS('Transaction Data'!A:A,A192,'Transaction Data'!G:G,"Yes")&gt;2,30,0)</f>
        <v>0</v>
      </c>
      <c r="J192">
        <f>'Client Master Data'!I192+'Client Master Data'!J192+H192+I192</f>
        <v>140</v>
      </c>
    </row>
    <row r="193" spans="1:10">
      <c r="A193">
        <v>1148</v>
      </c>
      <c r="B193" t="s">
        <v>898</v>
      </c>
      <c r="C193" t="s">
        <v>745</v>
      </c>
      <c r="D193">
        <v>440892</v>
      </c>
      <c r="E193" t="s">
        <v>600</v>
      </c>
      <c r="F193" t="s">
        <v>23</v>
      </c>
      <c r="G193" t="str">
        <f t="shared" si="4"/>
        <v>Yes</v>
      </c>
      <c r="H193">
        <f t="shared" si="5"/>
        <v>70</v>
      </c>
      <c r="I193" s="1">
        <f>IF(COUNTIF('Transaction Data'!A:A,A193)&gt;5,20,0)+IF(COUNTIFS('Transaction Data'!A:A,A193,'Transaction Data'!G:G,"Yes")&gt;2,30,0)</f>
        <v>0</v>
      </c>
      <c r="J193">
        <f>'Client Master Data'!I193+'Client Master Data'!J193+H193+I193</f>
        <v>110</v>
      </c>
    </row>
    <row r="194" spans="1:10">
      <c r="A194">
        <v>1291</v>
      </c>
      <c r="B194" t="s">
        <v>899</v>
      </c>
      <c r="C194" t="s">
        <v>845</v>
      </c>
      <c r="D194">
        <v>362084</v>
      </c>
      <c r="E194" t="s">
        <v>600</v>
      </c>
      <c r="F194" t="s">
        <v>54</v>
      </c>
      <c r="G194" t="str">
        <f t="shared" ref="G194:G257" si="6">IF(OR(D194&gt;100000,F194="UAE",F194="Nigeria"),"Yes","No")</f>
        <v>Yes</v>
      </c>
      <c r="H194">
        <f t="shared" si="5"/>
        <v>70</v>
      </c>
      <c r="I194" s="1">
        <f>IF(COUNTIF('Transaction Data'!A:A,A194)&gt;5,20,0)+IF(COUNTIFS('Transaction Data'!A:A,A194,'Transaction Data'!G:G,"Yes")&gt;2,30,0)</f>
        <v>30</v>
      </c>
      <c r="J194">
        <f>'Client Master Data'!I194+'Client Master Data'!J194+H194+I194</f>
        <v>120</v>
      </c>
    </row>
    <row r="195" spans="1:10">
      <c r="A195">
        <v>1455</v>
      </c>
      <c r="B195" t="s">
        <v>900</v>
      </c>
      <c r="C195" t="s">
        <v>811</v>
      </c>
      <c r="D195">
        <v>152528</v>
      </c>
      <c r="E195" t="s">
        <v>588</v>
      </c>
      <c r="F195" t="s">
        <v>23</v>
      </c>
      <c r="G195" t="str">
        <f t="shared" si="6"/>
        <v>Yes</v>
      </c>
      <c r="H195">
        <f t="shared" ref="H195:H258" si="7">IF(D195&gt;100000,30,0)+IF(TRIM(LOWER(G195))="yes",40,0)</f>
        <v>70</v>
      </c>
      <c r="I195" s="1">
        <f>IF(COUNTIF('Transaction Data'!A:A,A195)&gt;5,20,0)+IF(COUNTIFS('Transaction Data'!A:A,A195,'Transaction Data'!G:G,"Yes")&gt;2,30,0)</f>
        <v>0</v>
      </c>
      <c r="J195">
        <f>'Client Master Data'!I195+'Client Master Data'!J195+H195+I195</f>
        <v>100</v>
      </c>
    </row>
    <row r="196" spans="1:10">
      <c r="A196">
        <v>1264</v>
      </c>
      <c r="B196" t="s">
        <v>901</v>
      </c>
      <c r="C196" t="s">
        <v>902</v>
      </c>
      <c r="D196">
        <v>380942</v>
      </c>
      <c r="E196" t="s">
        <v>588</v>
      </c>
      <c r="F196" t="s">
        <v>17</v>
      </c>
      <c r="G196" t="str">
        <f t="shared" si="6"/>
        <v>Yes</v>
      </c>
      <c r="H196">
        <f t="shared" si="7"/>
        <v>70</v>
      </c>
      <c r="I196" s="1">
        <f>IF(COUNTIF('Transaction Data'!A:A,A196)&gt;5,20,0)+IF(COUNTIFS('Transaction Data'!A:A,A196,'Transaction Data'!G:G,"Yes")&gt;2,30,0)</f>
        <v>30</v>
      </c>
      <c r="J196">
        <f>'Client Master Data'!I196+'Client Master Data'!J196+H196+I196</f>
        <v>150</v>
      </c>
    </row>
    <row r="197" spans="1:10">
      <c r="A197">
        <v>1374</v>
      </c>
      <c r="B197" t="s">
        <v>903</v>
      </c>
      <c r="C197" t="s">
        <v>604</v>
      </c>
      <c r="D197">
        <v>130400</v>
      </c>
      <c r="E197" t="s">
        <v>588</v>
      </c>
      <c r="F197" t="s">
        <v>23</v>
      </c>
      <c r="G197" t="str">
        <f t="shared" si="6"/>
        <v>Yes</v>
      </c>
      <c r="H197">
        <f t="shared" si="7"/>
        <v>70</v>
      </c>
      <c r="I197" s="1">
        <f>IF(COUNTIF('Transaction Data'!A:A,A197)&gt;5,20,0)+IF(COUNTIFS('Transaction Data'!A:A,A197,'Transaction Data'!G:G,"Yes")&gt;2,30,0)</f>
        <v>0</v>
      </c>
      <c r="J197">
        <f>'Client Master Data'!I197+'Client Master Data'!J197+H197+I197</f>
        <v>140</v>
      </c>
    </row>
    <row r="198" spans="1:10">
      <c r="A198">
        <v>1528</v>
      </c>
      <c r="B198" t="s">
        <v>904</v>
      </c>
      <c r="C198" t="s">
        <v>602</v>
      </c>
      <c r="D198">
        <v>235130</v>
      </c>
      <c r="E198" t="s">
        <v>600</v>
      </c>
      <c r="F198" t="s">
        <v>11</v>
      </c>
      <c r="G198" t="str">
        <f t="shared" si="6"/>
        <v>Yes</v>
      </c>
      <c r="H198">
        <f t="shared" si="7"/>
        <v>70</v>
      </c>
      <c r="I198" s="1">
        <f>IF(COUNTIF('Transaction Data'!A:A,A198)&gt;5,20,0)+IF(COUNTIFS('Transaction Data'!A:A,A198,'Transaction Data'!G:G,"Yes")&gt;2,30,0)</f>
        <v>0</v>
      </c>
      <c r="J198">
        <f>'Client Master Data'!I198+'Client Master Data'!J198+H198+I198</f>
        <v>90</v>
      </c>
    </row>
    <row r="199" spans="1:10">
      <c r="A199">
        <v>1172</v>
      </c>
      <c r="B199" t="s">
        <v>905</v>
      </c>
      <c r="C199" t="s">
        <v>692</v>
      </c>
      <c r="D199">
        <v>177698</v>
      </c>
      <c r="E199" t="s">
        <v>588</v>
      </c>
      <c r="F199" t="s">
        <v>54</v>
      </c>
      <c r="G199" t="str">
        <f t="shared" si="6"/>
        <v>Yes</v>
      </c>
      <c r="H199">
        <f t="shared" si="7"/>
        <v>70</v>
      </c>
      <c r="I199" s="1">
        <f>IF(COUNTIF('Transaction Data'!A:A,A199)&gt;5,20,0)+IF(COUNTIFS('Transaction Data'!A:A,A199,'Transaction Data'!G:G,"Yes")&gt;2,30,0)</f>
        <v>0</v>
      </c>
      <c r="J199">
        <f>'Client Master Data'!I199+'Client Master Data'!J199+H199+I199</f>
        <v>120</v>
      </c>
    </row>
    <row r="200" spans="1:10">
      <c r="A200">
        <v>1026</v>
      </c>
      <c r="B200" t="s">
        <v>906</v>
      </c>
      <c r="C200" t="s">
        <v>861</v>
      </c>
      <c r="D200">
        <v>499578</v>
      </c>
      <c r="E200" t="s">
        <v>600</v>
      </c>
      <c r="F200" t="s">
        <v>39</v>
      </c>
      <c r="G200" t="str">
        <f t="shared" si="6"/>
        <v>Yes</v>
      </c>
      <c r="H200">
        <f t="shared" si="7"/>
        <v>70</v>
      </c>
      <c r="I200" s="1">
        <f>IF(COUNTIF('Transaction Data'!A:A,A200)&gt;5,20,0)+IF(COUNTIFS('Transaction Data'!A:A,A200,'Transaction Data'!G:G,"Yes")&gt;2,30,0)</f>
        <v>30</v>
      </c>
      <c r="J200">
        <f>'Client Master Data'!I200+'Client Master Data'!J200+H200+I200</f>
        <v>130</v>
      </c>
    </row>
    <row r="201" spans="1:10">
      <c r="A201">
        <v>1014</v>
      </c>
      <c r="B201" t="s">
        <v>907</v>
      </c>
      <c r="C201" t="s">
        <v>908</v>
      </c>
      <c r="D201">
        <v>459182</v>
      </c>
      <c r="E201" t="s">
        <v>588</v>
      </c>
      <c r="F201" t="s">
        <v>17</v>
      </c>
      <c r="G201" t="str">
        <f t="shared" si="6"/>
        <v>Yes</v>
      </c>
      <c r="H201">
        <f t="shared" si="7"/>
        <v>70</v>
      </c>
      <c r="I201" s="1">
        <f>IF(COUNTIF('Transaction Data'!A:A,A201)&gt;5,20,0)+IF(COUNTIFS('Transaction Data'!A:A,A201,'Transaction Data'!G:G,"Yes")&gt;2,30,0)</f>
        <v>0</v>
      </c>
      <c r="J201">
        <f>'Client Master Data'!I201+'Client Master Data'!J201+H201+I201</f>
        <v>90</v>
      </c>
    </row>
    <row r="202" spans="1:10">
      <c r="A202">
        <v>1089</v>
      </c>
      <c r="B202" t="s">
        <v>909</v>
      </c>
      <c r="C202" t="s">
        <v>910</v>
      </c>
      <c r="D202">
        <v>391582</v>
      </c>
      <c r="E202" t="s">
        <v>600</v>
      </c>
      <c r="F202" t="s">
        <v>11</v>
      </c>
      <c r="G202" t="str">
        <f t="shared" si="6"/>
        <v>Yes</v>
      </c>
      <c r="H202">
        <f t="shared" si="7"/>
        <v>70</v>
      </c>
      <c r="I202" s="1">
        <f>IF(COUNTIF('Transaction Data'!A:A,A202)&gt;5,20,0)+IF(COUNTIFS('Transaction Data'!A:A,A202,'Transaction Data'!G:G,"Yes")&gt;2,30,0)</f>
        <v>30</v>
      </c>
      <c r="J202">
        <f>'Client Master Data'!I202+'Client Master Data'!J202+H202+I202</f>
        <v>170</v>
      </c>
    </row>
    <row r="203" spans="1:10">
      <c r="A203">
        <v>1150</v>
      </c>
      <c r="B203" t="s">
        <v>911</v>
      </c>
      <c r="C203" t="s">
        <v>912</v>
      </c>
      <c r="D203">
        <v>10193</v>
      </c>
      <c r="E203" t="s">
        <v>593</v>
      </c>
      <c r="F203" t="s">
        <v>39</v>
      </c>
      <c r="G203" t="str">
        <f t="shared" si="6"/>
        <v>No</v>
      </c>
      <c r="H203">
        <f t="shared" si="7"/>
        <v>0</v>
      </c>
      <c r="I203" s="1">
        <f>IF(COUNTIF('Transaction Data'!A:A,A203)&gt;5,20,0)+IF(COUNTIFS('Transaction Data'!A:A,A203,'Transaction Data'!G:G,"Yes")&gt;2,30,0)</f>
        <v>0</v>
      </c>
      <c r="J203">
        <f>'Client Master Data'!I203+'Client Master Data'!J203+H203+I203</f>
        <v>30</v>
      </c>
    </row>
    <row r="204" spans="1:10">
      <c r="A204">
        <v>1104</v>
      </c>
      <c r="B204" t="s">
        <v>913</v>
      </c>
      <c r="C204" t="s">
        <v>652</v>
      </c>
      <c r="D204">
        <v>67663</v>
      </c>
      <c r="E204" t="s">
        <v>588</v>
      </c>
      <c r="F204" t="s">
        <v>23</v>
      </c>
      <c r="G204" t="str">
        <f t="shared" si="6"/>
        <v>No</v>
      </c>
      <c r="H204">
        <f t="shared" si="7"/>
        <v>0</v>
      </c>
      <c r="I204" s="1">
        <f>IF(COUNTIF('Transaction Data'!A:A,A204)&gt;5,20,0)+IF(COUNTIFS('Transaction Data'!A:A,A204,'Transaction Data'!G:G,"Yes")&gt;2,30,0)</f>
        <v>0</v>
      </c>
      <c r="J204">
        <f>'Client Master Data'!I204+'Client Master Data'!J204+H204+I204</f>
        <v>30</v>
      </c>
    </row>
    <row r="205" spans="1:10">
      <c r="A205">
        <v>1263</v>
      </c>
      <c r="B205" t="s">
        <v>914</v>
      </c>
      <c r="C205" t="s">
        <v>915</v>
      </c>
      <c r="D205">
        <v>20625</v>
      </c>
      <c r="E205" t="s">
        <v>588</v>
      </c>
      <c r="F205" t="s">
        <v>17</v>
      </c>
      <c r="G205" t="str">
        <f t="shared" si="6"/>
        <v>Yes</v>
      </c>
      <c r="H205">
        <f t="shared" si="7"/>
        <v>40</v>
      </c>
      <c r="I205" s="1">
        <f>IF(COUNTIF('Transaction Data'!A:A,A205)&gt;5,20,0)+IF(COUNTIFS('Transaction Data'!A:A,A205,'Transaction Data'!G:G,"Yes")&gt;2,30,0)</f>
        <v>0</v>
      </c>
      <c r="J205">
        <f>'Client Master Data'!I205+'Client Master Data'!J205+H205+I205</f>
        <v>90</v>
      </c>
    </row>
    <row r="206" spans="1:10">
      <c r="A206">
        <v>1058</v>
      </c>
      <c r="B206" t="s">
        <v>916</v>
      </c>
      <c r="C206" t="s">
        <v>698</v>
      </c>
      <c r="D206">
        <v>72892</v>
      </c>
      <c r="E206" t="s">
        <v>593</v>
      </c>
      <c r="F206" t="s">
        <v>54</v>
      </c>
      <c r="G206" t="str">
        <f t="shared" si="6"/>
        <v>Yes</v>
      </c>
      <c r="H206">
        <f t="shared" si="7"/>
        <v>40</v>
      </c>
      <c r="I206" s="1">
        <f>IF(COUNTIF('Transaction Data'!A:A,A206)&gt;5,20,0)+IF(COUNTIFS('Transaction Data'!A:A,A206,'Transaction Data'!G:G,"Yes")&gt;2,30,0)</f>
        <v>30</v>
      </c>
      <c r="J206">
        <f>'Client Master Data'!I206+'Client Master Data'!J206+H206+I206</f>
        <v>100</v>
      </c>
    </row>
    <row r="207" spans="1:10">
      <c r="A207">
        <v>1546</v>
      </c>
      <c r="B207" t="s">
        <v>917</v>
      </c>
      <c r="C207" t="s">
        <v>778</v>
      </c>
      <c r="D207">
        <v>204961</v>
      </c>
      <c r="E207" t="s">
        <v>600</v>
      </c>
      <c r="F207" t="s">
        <v>23</v>
      </c>
      <c r="G207" t="str">
        <f t="shared" si="6"/>
        <v>Yes</v>
      </c>
      <c r="H207">
        <f t="shared" si="7"/>
        <v>70</v>
      </c>
      <c r="I207" s="1">
        <f>IF(COUNTIF('Transaction Data'!A:A,A207)&gt;5,20,0)+IF(COUNTIFS('Transaction Data'!A:A,A207,'Transaction Data'!G:G,"Yes")&gt;2,30,0)</f>
        <v>30</v>
      </c>
      <c r="J207">
        <f>'Client Master Data'!I207+'Client Master Data'!J207+H207+I207</f>
        <v>150</v>
      </c>
    </row>
    <row r="208" spans="1:10">
      <c r="A208">
        <v>1458</v>
      </c>
      <c r="B208" t="s">
        <v>918</v>
      </c>
      <c r="C208" t="s">
        <v>919</v>
      </c>
      <c r="D208">
        <v>413231</v>
      </c>
      <c r="E208" t="s">
        <v>588</v>
      </c>
      <c r="F208" t="s">
        <v>39</v>
      </c>
      <c r="G208" t="str">
        <f t="shared" si="6"/>
        <v>Yes</v>
      </c>
      <c r="H208">
        <f t="shared" si="7"/>
        <v>70</v>
      </c>
      <c r="I208" s="1">
        <f>IF(COUNTIF('Transaction Data'!A:A,A208)&gt;5,20,0)+IF(COUNTIFS('Transaction Data'!A:A,A208,'Transaction Data'!G:G,"Yes")&gt;2,30,0)</f>
        <v>30</v>
      </c>
      <c r="J208">
        <f>'Client Master Data'!I208+'Client Master Data'!J208+H208+I208</f>
        <v>120</v>
      </c>
    </row>
    <row r="209" spans="1:10">
      <c r="A209">
        <v>1315</v>
      </c>
      <c r="B209" t="s">
        <v>920</v>
      </c>
      <c r="C209" t="s">
        <v>921</v>
      </c>
      <c r="D209">
        <v>290346</v>
      </c>
      <c r="E209" t="s">
        <v>588</v>
      </c>
      <c r="F209" t="s">
        <v>39</v>
      </c>
      <c r="G209" t="str">
        <f t="shared" si="6"/>
        <v>Yes</v>
      </c>
      <c r="H209">
        <f t="shared" si="7"/>
        <v>70</v>
      </c>
      <c r="I209" s="1">
        <f>IF(COUNTIF('Transaction Data'!A:A,A209)&gt;5,20,0)+IF(COUNTIFS('Transaction Data'!A:A,A209,'Transaction Data'!G:G,"Yes")&gt;2,30,0)</f>
        <v>0</v>
      </c>
      <c r="J209">
        <f>'Client Master Data'!I209+'Client Master Data'!J209+H209+I209</f>
        <v>100</v>
      </c>
    </row>
    <row r="210" spans="1:10">
      <c r="A210">
        <v>1223</v>
      </c>
      <c r="B210" t="s">
        <v>922</v>
      </c>
      <c r="C210" t="s">
        <v>849</v>
      </c>
      <c r="D210">
        <v>3786</v>
      </c>
      <c r="E210" t="s">
        <v>600</v>
      </c>
      <c r="F210" t="s">
        <v>39</v>
      </c>
      <c r="G210" t="str">
        <f t="shared" si="6"/>
        <v>No</v>
      </c>
      <c r="H210">
        <f t="shared" si="7"/>
        <v>0</v>
      </c>
      <c r="I210" s="1">
        <f>IF(COUNTIF('Transaction Data'!A:A,A210)&gt;5,20,0)+IF(COUNTIFS('Transaction Data'!A:A,A210,'Transaction Data'!G:G,"Yes")&gt;2,30,0)</f>
        <v>0</v>
      </c>
      <c r="J210">
        <f>'Client Master Data'!I210+'Client Master Data'!J210+H210+I210</f>
        <v>20</v>
      </c>
    </row>
    <row r="211" spans="1:10">
      <c r="A211">
        <v>1450</v>
      </c>
      <c r="B211" t="s">
        <v>923</v>
      </c>
      <c r="C211" t="s">
        <v>924</v>
      </c>
      <c r="D211">
        <v>465646</v>
      </c>
      <c r="E211" t="s">
        <v>600</v>
      </c>
      <c r="F211" t="s">
        <v>23</v>
      </c>
      <c r="G211" t="str">
        <f t="shared" si="6"/>
        <v>Yes</v>
      </c>
      <c r="H211">
        <f t="shared" si="7"/>
        <v>70</v>
      </c>
      <c r="I211" s="1">
        <f>IF(COUNTIF('Transaction Data'!A:A,A211)&gt;5,20,0)+IF(COUNTIFS('Transaction Data'!A:A,A211,'Transaction Data'!G:G,"Yes")&gt;2,30,0)</f>
        <v>0</v>
      </c>
      <c r="J211">
        <f>'Client Master Data'!I211+'Client Master Data'!J211+H211+I211</f>
        <v>100</v>
      </c>
    </row>
    <row r="212" spans="1:10">
      <c r="A212">
        <v>1274</v>
      </c>
      <c r="B212" t="s">
        <v>925</v>
      </c>
      <c r="C212" t="s">
        <v>851</v>
      </c>
      <c r="D212">
        <v>440714</v>
      </c>
      <c r="E212" t="s">
        <v>593</v>
      </c>
      <c r="F212" t="s">
        <v>27</v>
      </c>
      <c r="G212" t="str">
        <f t="shared" si="6"/>
        <v>Yes</v>
      </c>
      <c r="H212">
        <f t="shared" si="7"/>
        <v>70</v>
      </c>
      <c r="I212" s="1">
        <f>IF(COUNTIF('Transaction Data'!A:A,A212)&gt;5,20,0)+IF(COUNTIFS('Transaction Data'!A:A,A212,'Transaction Data'!G:G,"Yes")&gt;2,30,0)</f>
        <v>30</v>
      </c>
      <c r="J212">
        <f>'Client Master Data'!I212+'Client Master Data'!J212+H212+I212</f>
        <v>130</v>
      </c>
    </row>
    <row r="213" spans="1:10">
      <c r="A213">
        <v>1480</v>
      </c>
      <c r="B213" t="s">
        <v>926</v>
      </c>
      <c r="C213" t="s">
        <v>927</v>
      </c>
      <c r="D213">
        <v>13373</v>
      </c>
      <c r="E213" t="s">
        <v>593</v>
      </c>
      <c r="F213" t="s">
        <v>11</v>
      </c>
      <c r="G213" t="str">
        <f t="shared" si="6"/>
        <v>No</v>
      </c>
      <c r="H213">
        <f t="shared" si="7"/>
        <v>0</v>
      </c>
      <c r="I213" s="1">
        <f>IF(COUNTIF('Transaction Data'!A:A,A213)&gt;5,20,0)+IF(COUNTIFS('Transaction Data'!A:A,A213,'Transaction Data'!G:G,"Yes")&gt;2,30,0)</f>
        <v>0</v>
      </c>
      <c r="J213">
        <f>'Client Master Data'!I213+'Client Master Data'!J213+H213+I213</f>
        <v>50</v>
      </c>
    </row>
    <row r="214" spans="1:10">
      <c r="A214">
        <v>1224</v>
      </c>
      <c r="B214" t="s">
        <v>928</v>
      </c>
      <c r="C214" t="s">
        <v>633</v>
      </c>
      <c r="D214">
        <v>439631</v>
      </c>
      <c r="E214" t="s">
        <v>593</v>
      </c>
      <c r="F214" t="s">
        <v>54</v>
      </c>
      <c r="G214" t="str">
        <f t="shared" si="6"/>
        <v>Yes</v>
      </c>
      <c r="H214">
        <f t="shared" si="7"/>
        <v>70</v>
      </c>
      <c r="I214" s="1">
        <f>IF(COUNTIF('Transaction Data'!A:A,A214)&gt;5,20,0)+IF(COUNTIFS('Transaction Data'!A:A,A214,'Transaction Data'!G:G,"Yes")&gt;2,30,0)</f>
        <v>0</v>
      </c>
      <c r="J214">
        <f>'Client Master Data'!I214+'Client Master Data'!J214+H214+I214</f>
        <v>120</v>
      </c>
    </row>
    <row r="215" spans="1:10">
      <c r="A215">
        <v>1237</v>
      </c>
      <c r="B215" t="s">
        <v>929</v>
      </c>
      <c r="C215" t="s">
        <v>930</v>
      </c>
      <c r="D215">
        <v>325797</v>
      </c>
      <c r="E215" t="s">
        <v>593</v>
      </c>
      <c r="F215" t="s">
        <v>54</v>
      </c>
      <c r="G215" t="str">
        <f t="shared" si="6"/>
        <v>Yes</v>
      </c>
      <c r="H215">
        <f t="shared" si="7"/>
        <v>70</v>
      </c>
      <c r="I215" s="1">
        <f>IF(COUNTIF('Transaction Data'!A:A,A215)&gt;5,20,0)+IF(COUNTIFS('Transaction Data'!A:A,A215,'Transaction Data'!G:G,"Yes")&gt;2,30,0)</f>
        <v>0</v>
      </c>
      <c r="J215">
        <f>'Client Master Data'!I215+'Client Master Data'!J215+H215+I215</f>
        <v>90</v>
      </c>
    </row>
    <row r="216" spans="1:10">
      <c r="A216">
        <v>1127</v>
      </c>
      <c r="B216" t="s">
        <v>931</v>
      </c>
      <c r="C216" t="s">
        <v>856</v>
      </c>
      <c r="D216">
        <v>219047</v>
      </c>
      <c r="E216" t="s">
        <v>600</v>
      </c>
      <c r="F216" t="s">
        <v>11</v>
      </c>
      <c r="G216" t="str">
        <f t="shared" si="6"/>
        <v>Yes</v>
      </c>
      <c r="H216">
        <f t="shared" si="7"/>
        <v>70</v>
      </c>
      <c r="I216" s="1">
        <f>IF(COUNTIF('Transaction Data'!A:A,A216)&gt;5,20,0)+IF(COUNTIFS('Transaction Data'!A:A,A216,'Transaction Data'!G:G,"Yes")&gt;2,30,0)</f>
        <v>0</v>
      </c>
      <c r="J216">
        <f>'Client Master Data'!I216+'Client Master Data'!J216+H216+I216</f>
        <v>120</v>
      </c>
    </row>
    <row r="217" spans="1:10">
      <c r="A217">
        <v>1262</v>
      </c>
      <c r="B217" t="s">
        <v>932</v>
      </c>
      <c r="C217" t="s">
        <v>767</v>
      </c>
      <c r="D217">
        <v>370287</v>
      </c>
      <c r="E217" t="s">
        <v>593</v>
      </c>
      <c r="F217" t="s">
        <v>27</v>
      </c>
      <c r="G217" t="str">
        <f t="shared" si="6"/>
        <v>Yes</v>
      </c>
      <c r="H217">
        <f t="shared" si="7"/>
        <v>70</v>
      </c>
      <c r="I217" s="1">
        <f>IF(COUNTIF('Transaction Data'!A:A,A217)&gt;5,20,0)+IF(COUNTIFS('Transaction Data'!A:A,A217,'Transaction Data'!G:G,"Yes")&gt;2,30,0)</f>
        <v>30</v>
      </c>
      <c r="J217">
        <f>'Client Master Data'!I217+'Client Master Data'!J217+H217+I217</f>
        <v>150</v>
      </c>
    </row>
    <row r="218" spans="1:10">
      <c r="A218">
        <v>1399</v>
      </c>
      <c r="B218" t="s">
        <v>933</v>
      </c>
      <c r="C218" t="s">
        <v>738</v>
      </c>
      <c r="D218">
        <v>176889</v>
      </c>
      <c r="E218" t="s">
        <v>588</v>
      </c>
      <c r="F218" t="s">
        <v>17</v>
      </c>
      <c r="G218" t="str">
        <f t="shared" si="6"/>
        <v>Yes</v>
      </c>
      <c r="H218">
        <f t="shared" si="7"/>
        <v>70</v>
      </c>
      <c r="I218" s="1">
        <f>IF(COUNTIF('Transaction Data'!A:A,A218)&gt;5,20,0)+IF(COUNTIFS('Transaction Data'!A:A,A218,'Transaction Data'!G:G,"Yes")&gt;2,30,0)</f>
        <v>30</v>
      </c>
      <c r="J218">
        <f>'Client Master Data'!I218+'Client Master Data'!J218+H218+I218</f>
        <v>160</v>
      </c>
    </row>
    <row r="219" spans="1:10">
      <c r="A219">
        <v>1513</v>
      </c>
      <c r="B219" t="s">
        <v>934</v>
      </c>
      <c r="C219" t="s">
        <v>690</v>
      </c>
      <c r="D219">
        <v>378942</v>
      </c>
      <c r="E219" t="s">
        <v>600</v>
      </c>
      <c r="F219" t="s">
        <v>17</v>
      </c>
      <c r="G219" t="str">
        <f t="shared" si="6"/>
        <v>Yes</v>
      </c>
      <c r="H219">
        <f t="shared" si="7"/>
        <v>70</v>
      </c>
      <c r="I219" s="1">
        <f>IF(COUNTIF('Transaction Data'!A:A,A219)&gt;5,20,0)+IF(COUNTIFS('Transaction Data'!A:A,A219,'Transaction Data'!G:G,"Yes")&gt;2,30,0)</f>
        <v>30</v>
      </c>
      <c r="J219">
        <f>'Client Master Data'!I219+'Client Master Data'!J219+H219+I219</f>
        <v>170</v>
      </c>
    </row>
    <row r="220" spans="1:10">
      <c r="A220">
        <v>1009</v>
      </c>
      <c r="B220" t="s">
        <v>935</v>
      </c>
      <c r="C220" t="s">
        <v>725</v>
      </c>
      <c r="D220">
        <v>447179</v>
      </c>
      <c r="E220" t="s">
        <v>588</v>
      </c>
      <c r="F220" t="s">
        <v>11</v>
      </c>
      <c r="G220" t="str">
        <f t="shared" si="6"/>
        <v>Yes</v>
      </c>
      <c r="H220">
        <f t="shared" si="7"/>
        <v>70</v>
      </c>
      <c r="I220" s="1">
        <f>IF(COUNTIF('Transaction Data'!A:A,A220)&gt;5,20,0)+IF(COUNTIFS('Transaction Data'!A:A,A220,'Transaction Data'!G:G,"Yes")&gt;2,30,0)</f>
        <v>30</v>
      </c>
      <c r="J220">
        <f>'Client Master Data'!I220+'Client Master Data'!J220+H220+I220</f>
        <v>150</v>
      </c>
    </row>
    <row r="221" spans="1:10">
      <c r="A221">
        <v>1165</v>
      </c>
      <c r="B221" t="s">
        <v>936</v>
      </c>
      <c r="C221" t="s">
        <v>937</v>
      </c>
      <c r="D221">
        <v>463236</v>
      </c>
      <c r="E221" t="s">
        <v>593</v>
      </c>
      <c r="F221" t="s">
        <v>39</v>
      </c>
      <c r="G221" t="str">
        <f t="shared" si="6"/>
        <v>Yes</v>
      </c>
      <c r="H221">
        <f t="shared" si="7"/>
        <v>70</v>
      </c>
      <c r="I221" s="1">
        <f>IF(COUNTIF('Transaction Data'!A:A,A221)&gt;5,20,0)+IF(COUNTIFS('Transaction Data'!A:A,A221,'Transaction Data'!G:G,"Yes")&gt;2,30,0)</f>
        <v>30</v>
      </c>
      <c r="J221">
        <f>'Client Master Data'!I221+'Client Master Data'!J221+H221+I221</f>
        <v>170</v>
      </c>
    </row>
    <row r="222" spans="1:10">
      <c r="A222">
        <v>1390</v>
      </c>
      <c r="B222" t="s">
        <v>938</v>
      </c>
      <c r="C222" t="s">
        <v>939</v>
      </c>
      <c r="D222">
        <v>423062</v>
      </c>
      <c r="E222" t="s">
        <v>588</v>
      </c>
      <c r="F222" t="s">
        <v>27</v>
      </c>
      <c r="G222" t="str">
        <f t="shared" si="6"/>
        <v>Yes</v>
      </c>
      <c r="H222">
        <f t="shared" si="7"/>
        <v>70</v>
      </c>
      <c r="I222" s="1">
        <f>IF(COUNTIF('Transaction Data'!A:A,A222)&gt;5,20,0)+IF(COUNTIFS('Transaction Data'!A:A,A222,'Transaction Data'!G:G,"Yes")&gt;2,30,0)</f>
        <v>30</v>
      </c>
      <c r="J222">
        <f>'Client Master Data'!I222+'Client Master Data'!J222+H222+I222</f>
        <v>130</v>
      </c>
    </row>
    <row r="223" spans="1:10">
      <c r="A223">
        <v>1005</v>
      </c>
      <c r="B223" t="s">
        <v>940</v>
      </c>
      <c r="C223" t="s">
        <v>818</v>
      </c>
      <c r="D223">
        <v>275774</v>
      </c>
      <c r="E223" t="s">
        <v>593</v>
      </c>
      <c r="F223" t="s">
        <v>23</v>
      </c>
      <c r="G223" t="str">
        <f t="shared" si="6"/>
        <v>Yes</v>
      </c>
      <c r="H223">
        <f t="shared" si="7"/>
        <v>70</v>
      </c>
      <c r="I223" s="1">
        <f>IF(COUNTIF('Transaction Data'!A:A,A223)&gt;5,20,0)+IF(COUNTIFS('Transaction Data'!A:A,A223,'Transaction Data'!G:G,"Yes")&gt;2,30,0)</f>
        <v>0</v>
      </c>
      <c r="J223">
        <f>'Client Master Data'!I223+'Client Master Data'!J223+H223+I223</f>
        <v>100</v>
      </c>
    </row>
    <row r="224" spans="1:10">
      <c r="A224">
        <v>1520</v>
      </c>
      <c r="B224" t="s">
        <v>941</v>
      </c>
      <c r="C224" t="s">
        <v>700</v>
      </c>
      <c r="D224">
        <v>124296</v>
      </c>
      <c r="E224" t="s">
        <v>600</v>
      </c>
      <c r="F224" t="s">
        <v>23</v>
      </c>
      <c r="G224" t="str">
        <f t="shared" si="6"/>
        <v>Yes</v>
      </c>
      <c r="H224">
        <f t="shared" si="7"/>
        <v>70</v>
      </c>
      <c r="I224" s="1">
        <f>IF(COUNTIF('Transaction Data'!A:A,A224)&gt;5,20,0)+IF(COUNTIFS('Transaction Data'!A:A,A224,'Transaction Data'!G:G,"Yes")&gt;2,30,0)</f>
        <v>0</v>
      </c>
      <c r="J224">
        <f>'Client Master Data'!I224+'Client Master Data'!J224+H224+I224</f>
        <v>100</v>
      </c>
    </row>
    <row r="225" spans="1:10">
      <c r="A225">
        <v>1332</v>
      </c>
      <c r="B225" t="s">
        <v>942</v>
      </c>
      <c r="C225" t="s">
        <v>635</v>
      </c>
      <c r="D225">
        <v>308739</v>
      </c>
      <c r="E225" t="s">
        <v>593</v>
      </c>
      <c r="F225" t="s">
        <v>11</v>
      </c>
      <c r="G225" t="str">
        <f t="shared" si="6"/>
        <v>Yes</v>
      </c>
      <c r="H225">
        <f t="shared" si="7"/>
        <v>70</v>
      </c>
      <c r="I225" s="1">
        <f>IF(COUNTIF('Transaction Data'!A:A,A225)&gt;5,20,0)+IF(COUNTIFS('Transaction Data'!A:A,A225,'Transaction Data'!G:G,"Yes")&gt;2,30,0)</f>
        <v>0</v>
      </c>
      <c r="J225">
        <f>'Client Master Data'!I225+'Client Master Data'!J225+H225+I225</f>
        <v>120</v>
      </c>
    </row>
    <row r="226" spans="1:10">
      <c r="A226">
        <v>1539</v>
      </c>
      <c r="B226" t="s">
        <v>943</v>
      </c>
      <c r="C226" t="s">
        <v>682</v>
      </c>
      <c r="D226">
        <v>50546</v>
      </c>
      <c r="E226" t="s">
        <v>593</v>
      </c>
      <c r="F226" t="s">
        <v>11</v>
      </c>
      <c r="G226" t="str">
        <f t="shared" si="6"/>
        <v>No</v>
      </c>
      <c r="H226">
        <f t="shared" si="7"/>
        <v>0</v>
      </c>
      <c r="I226" s="1">
        <f>IF(COUNTIF('Transaction Data'!A:A,A226)&gt;5,20,0)+IF(COUNTIFS('Transaction Data'!A:A,A226,'Transaction Data'!G:G,"Yes")&gt;2,30,0)</f>
        <v>0</v>
      </c>
      <c r="J226">
        <f>'Client Master Data'!I226+'Client Master Data'!J226+H226+I226</f>
        <v>50</v>
      </c>
    </row>
    <row r="227" spans="1:10">
      <c r="A227">
        <v>1136</v>
      </c>
      <c r="B227" t="s">
        <v>944</v>
      </c>
      <c r="C227" t="s">
        <v>836</v>
      </c>
      <c r="D227">
        <v>43422</v>
      </c>
      <c r="E227" t="s">
        <v>588</v>
      </c>
      <c r="F227" t="s">
        <v>39</v>
      </c>
      <c r="G227" t="str">
        <f t="shared" si="6"/>
        <v>No</v>
      </c>
      <c r="H227">
        <f t="shared" si="7"/>
        <v>0</v>
      </c>
      <c r="I227" s="1">
        <f>IF(COUNTIF('Transaction Data'!A:A,A227)&gt;5,20,0)+IF(COUNTIFS('Transaction Data'!A:A,A227,'Transaction Data'!G:G,"Yes")&gt;2,30,0)</f>
        <v>0</v>
      </c>
      <c r="J227">
        <f>'Client Master Data'!I227+'Client Master Data'!J227+H227+I227</f>
        <v>70</v>
      </c>
    </row>
    <row r="228" spans="1:10">
      <c r="A228">
        <v>1204</v>
      </c>
      <c r="B228" t="s">
        <v>945</v>
      </c>
      <c r="C228" t="s">
        <v>946</v>
      </c>
      <c r="D228">
        <v>198662</v>
      </c>
      <c r="E228" t="s">
        <v>593</v>
      </c>
      <c r="F228" t="s">
        <v>23</v>
      </c>
      <c r="G228" t="str">
        <f t="shared" si="6"/>
        <v>Yes</v>
      </c>
      <c r="H228">
        <f t="shared" si="7"/>
        <v>70</v>
      </c>
      <c r="I228" s="1">
        <f>IF(COUNTIF('Transaction Data'!A:A,A228)&gt;5,20,0)+IF(COUNTIFS('Transaction Data'!A:A,A228,'Transaction Data'!G:G,"Yes")&gt;2,30,0)</f>
        <v>0</v>
      </c>
      <c r="J228">
        <f>'Client Master Data'!I228+'Client Master Data'!J228+H228+I228</f>
        <v>90</v>
      </c>
    </row>
    <row r="229" spans="1:10">
      <c r="A229">
        <v>1133</v>
      </c>
      <c r="B229" t="s">
        <v>947</v>
      </c>
      <c r="C229" t="s">
        <v>948</v>
      </c>
      <c r="D229">
        <v>82119</v>
      </c>
      <c r="E229" t="s">
        <v>600</v>
      </c>
      <c r="F229" t="s">
        <v>17</v>
      </c>
      <c r="G229" t="str">
        <f t="shared" si="6"/>
        <v>Yes</v>
      </c>
      <c r="H229">
        <f t="shared" si="7"/>
        <v>40</v>
      </c>
      <c r="I229" s="1">
        <f>IF(COUNTIF('Transaction Data'!A:A,A229)&gt;5,20,0)+IF(COUNTIFS('Transaction Data'!A:A,A229,'Transaction Data'!G:G,"Yes")&gt;2,30,0)</f>
        <v>30</v>
      </c>
      <c r="J229">
        <f>'Client Master Data'!I229+'Client Master Data'!J229+H229+I229</f>
        <v>120</v>
      </c>
    </row>
    <row r="230" spans="1:10">
      <c r="A230">
        <v>1311</v>
      </c>
      <c r="B230" t="s">
        <v>949</v>
      </c>
      <c r="C230" t="s">
        <v>950</v>
      </c>
      <c r="D230">
        <v>122080</v>
      </c>
      <c r="E230" t="s">
        <v>593</v>
      </c>
      <c r="F230" t="s">
        <v>27</v>
      </c>
      <c r="G230" t="str">
        <f t="shared" si="6"/>
        <v>Yes</v>
      </c>
      <c r="H230">
        <f t="shared" si="7"/>
        <v>70</v>
      </c>
      <c r="I230" s="1">
        <f>IF(COUNTIF('Transaction Data'!A:A,A230)&gt;5,20,0)+IF(COUNTIFS('Transaction Data'!A:A,A230,'Transaction Data'!G:G,"Yes")&gt;2,30,0)</f>
        <v>0</v>
      </c>
      <c r="J230">
        <f>'Client Master Data'!I230+'Client Master Data'!J230+H230+I230</f>
        <v>100</v>
      </c>
    </row>
    <row r="231" spans="1:10">
      <c r="A231">
        <v>1145</v>
      </c>
      <c r="B231" t="s">
        <v>951</v>
      </c>
      <c r="C231" t="s">
        <v>610</v>
      </c>
      <c r="D231">
        <v>156890</v>
      </c>
      <c r="E231" t="s">
        <v>593</v>
      </c>
      <c r="F231" t="s">
        <v>54</v>
      </c>
      <c r="G231" t="str">
        <f t="shared" si="6"/>
        <v>Yes</v>
      </c>
      <c r="H231">
        <f t="shared" si="7"/>
        <v>70</v>
      </c>
      <c r="I231" s="1">
        <f>IF(COUNTIF('Transaction Data'!A:A,A231)&gt;5,20,0)+IF(COUNTIFS('Transaction Data'!A:A,A231,'Transaction Data'!G:G,"Yes")&gt;2,30,0)</f>
        <v>30</v>
      </c>
      <c r="J231">
        <f>'Client Master Data'!I231+'Client Master Data'!J231+H231+I231</f>
        <v>150</v>
      </c>
    </row>
    <row r="232" spans="1:10">
      <c r="A232">
        <v>1276</v>
      </c>
      <c r="B232" t="s">
        <v>952</v>
      </c>
      <c r="C232" t="s">
        <v>953</v>
      </c>
      <c r="D232">
        <v>289576</v>
      </c>
      <c r="E232" t="s">
        <v>593</v>
      </c>
      <c r="F232" t="s">
        <v>27</v>
      </c>
      <c r="G232" t="str">
        <f t="shared" si="6"/>
        <v>Yes</v>
      </c>
      <c r="H232">
        <f t="shared" si="7"/>
        <v>70</v>
      </c>
      <c r="I232" s="1">
        <f>IF(COUNTIF('Transaction Data'!A:A,A232)&gt;5,20,0)+IF(COUNTIFS('Transaction Data'!A:A,A232,'Transaction Data'!G:G,"Yes")&gt;2,30,0)</f>
        <v>30</v>
      </c>
      <c r="J232">
        <f>'Client Master Data'!I232+'Client Master Data'!J232+H232+I232</f>
        <v>120</v>
      </c>
    </row>
    <row r="233" spans="1:10">
      <c r="A233">
        <v>1170</v>
      </c>
      <c r="B233" t="s">
        <v>954</v>
      </c>
      <c r="C233" t="s">
        <v>743</v>
      </c>
      <c r="D233">
        <v>222270</v>
      </c>
      <c r="E233" t="s">
        <v>600</v>
      </c>
      <c r="F233" t="s">
        <v>17</v>
      </c>
      <c r="G233" t="str">
        <f t="shared" si="6"/>
        <v>Yes</v>
      </c>
      <c r="H233">
        <f t="shared" si="7"/>
        <v>70</v>
      </c>
      <c r="I233" s="1">
        <f>IF(COUNTIF('Transaction Data'!A:A,A233)&gt;5,20,0)+IF(COUNTIFS('Transaction Data'!A:A,A233,'Transaction Data'!G:G,"Yes")&gt;2,30,0)</f>
        <v>30</v>
      </c>
      <c r="J233">
        <f>'Client Master Data'!I233+'Client Master Data'!J233+H233+I233</f>
        <v>140</v>
      </c>
    </row>
    <row r="234" spans="1:10">
      <c r="A234">
        <v>1116</v>
      </c>
      <c r="B234" t="s">
        <v>955</v>
      </c>
      <c r="C234" t="s">
        <v>762</v>
      </c>
      <c r="D234">
        <v>204775</v>
      </c>
      <c r="E234" t="s">
        <v>593</v>
      </c>
      <c r="F234" t="s">
        <v>17</v>
      </c>
      <c r="G234" t="str">
        <f t="shared" si="6"/>
        <v>Yes</v>
      </c>
      <c r="H234">
        <f t="shared" si="7"/>
        <v>70</v>
      </c>
      <c r="I234" s="1">
        <f>IF(COUNTIF('Transaction Data'!A:A,A234)&gt;5,20,0)+IF(COUNTIFS('Transaction Data'!A:A,A234,'Transaction Data'!G:G,"Yes")&gt;2,30,0)</f>
        <v>0</v>
      </c>
      <c r="J234">
        <f>'Client Master Data'!I234+'Client Master Data'!J234+H234+I234</f>
        <v>90</v>
      </c>
    </row>
    <row r="235" spans="1:10">
      <c r="A235">
        <v>1161</v>
      </c>
      <c r="B235" t="s">
        <v>956</v>
      </c>
      <c r="C235" t="s">
        <v>754</v>
      </c>
      <c r="D235">
        <v>158256</v>
      </c>
      <c r="E235" t="s">
        <v>588</v>
      </c>
      <c r="F235" t="s">
        <v>27</v>
      </c>
      <c r="G235" t="str">
        <f t="shared" si="6"/>
        <v>Yes</v>
      </c>
      <c r="H235">
        <f t="shared" si="7"/>
        <v>70</v>
      </c>
      <c r="I235" s="1">
        <f>IF(COUNTIF('Transaction Data'!A:A,A235)&gt;5,20,0)+IF(COUNTIFS('Transaction Data'!A:A,A235,'Transaction Data'!G:G,"Yes")&gt;2,30,0)</f>
        <v>30</v>
      </c>
      <c r="J235">
        <f>'Client Master Data'!I235+'Client Master Data'!J235+H235+I235</f>
        <v>150</v>
      </c>
    </row>
    <row r="236" spans="1:10">
      <c r="A236">
        <v>1392</v>
      </c>
      <c r="B236" t="s">
        <v>957</v>
      </c>
      <c r="C236" t="s">
        <v>958</v>
      </c>
      <c r="D236">
        <v>204354</v>
      </c>
      <c r="E236" t="s">
        <v>593</v>
      </c>
      <c r="F236" t="s">
        <v>54</v>
      </c>
      <c r="G236" t="str">
        <f t="shared" si="6"/>
        <v>Yes</v>
      </c>
      <c r="H236">
        <f t="shared" si="7"/>
        <v>70</v>
      </c>
      <c r="I236" s="1">
        <f>IF(COUNTIF('Transaction Data'!A:A,A236)&gt;5,20,0)+IF(COUNTIFS('Transaction Data'!A:A,A236,'Transaction Data'!G:G,"Yes")&gt;2,30,0)</f>
        <v>0</v>
      </c>
      <c r="J236">
        <f>'Client Master Data'!I236+'Client Master Data'!J236+H236+I236</f>
        <v>90</v>
      </c>
    </row>
    <row r="237" spans="1:10">
      <c r="A237">
        <v>1549</v>
      </c>
      <c r="B237" t="s">
        <v>959</v>
      </c>
      <c r="C237" t="s">
        <v>845</v>
      </c>
      <c r="D237">
        <v>356256</v>
      </c>
      <c r="E237" t="s">
        <v>593</v>
      </c>
      <c r="F237" t="s">
        <v>27</v>
      </c>
      <c r="G237" t="str">
        <f t="shared" si="6"/>
        <v>Yes</v>
      </c>
      <c r="H237">
        <f t="shared" si="7"/>
        <v>70</v>
      </c>
      <c r="I237" s="1">
        <f>IF(COUNTIF('Transaction Data'!A:A,A237)&gt;5,20,0)+IF(COUNTIFS('Transaction Data'!A:A,A237,'Transaction Data'!G:G,"Yes")&gt;2,30,0)</f>
        <v>30</v>
      </c>
      <c r="J237">
        <f>'Client Master Data'!I237+'Client Master Data'!J237+H237+I237</f>
        <v>150</v>
      </c>
    </row>
    <row r="238" spans="1:10">
      <c r="A238">
        <v>1329</v>
      </c>
      <c r="B238" t="s">
        <v>960</v>
      </c>
      <c r="C238" t="s">
        <v>612</v>
      </c>
      <c r="D238">
        <v>476967</v>
      </c>
      <c r="E238" t="s">
        <v>600</v>
      </c>
      <c r="F238" t="s">
        <v>54</v>
      </c>
      <c r="G238" t="str">
        <f t="shared" si="6"/>
        <v>Yes</v>
      </c>
      <c r="H238">
        <f t="shared" si="7"/>
        <v>70</v>
      </c>
      <c r="I238" s="1">
        <f>IF(COUNTIF('Transaction Data'!A:A,A238)&gt;5,20,0)+IF(COUNTIFS('Transaction Data'!A:A,A238,'Transaction Data'!G:G,"Yes")&gt;2,30,0)</f>
        <v>0</v>
      </c>
      <c r="J238">
        <f>'Client Master Data'!I238+'Client Master Data'!J238+H238+I238</f>
        <v>140</v>
      </c>
    </row>
    <row r="239" spans="1:10">
      <c r="A239">
        <v>1201</v>
      </c>
      <c r="B239" t="s">
        <v>961</v>
      </c>
      <c r="C239" t="s">
        <v>717</v>
      </c>
      <c r="D239">
        <v>176128</v>
      </c>
      <c r="E239" t="s">
        <v>593</v>
      </c>
      <c r="F239" t="s">
        <v>54</v>
      </c>
      <c r="G239" t="str">
        <f t="shared" si="6"/>
        <v>Yes</v>
      </c>
      <c r="H239">
        <f t="shared" si="7"/>
        <v>70</v>
      </c>
      <c r="I239" s="1">
        <f>IF(COUNTIF('Transaction Data'!A:A,A239)&gt;5,20,0)+IF(COUNTIFS('Transaction Data'!A:A,A239,'Transaction Data'!G:G,"Yes")&gt;2,30,0)</f>
        <v>0</v>
      </c>
      <c r="J239">
        <f>'Client Master Data'!I239+'Client Master Data'!J239+H239+I239</f>
        <v>110</v>
      </c>
    </row>
    <row r="240" spans="1:10">
      <c r="A240">
        <v>1160</v>
      </c>
      <c r="B240" t="s">
        <v>962</v>
      </c>
      <c r="C240" t="s">
        <v>958</v>
      </c>
      <c r="D240">
        <v>154301</v>
      </c>
      <c r="E240" t="s">
        <v>600</v>
      </c>
      <c r="F240" t="s">
        <v>39</v>
      </c>
      <c r="G240" t="str">
        <f t="shared" si="6"/>
        <v>Yes</v>
      </c>
      <c r="H240">
        <f t="shared" si="7"/>
        <v>70</v>
      </c>
      <c r="I240" s="1">
        <f>IF(COUNTIF('Transaction Data'!A:A,A240)&gt;5,20,0)+IF(COUNTIFS('Transaction Data'!A:A,A240,'Transaction Data'!G:G,"Yes")&gt;2,30,0)</f>
        <v>0</v>
      </c>
      <c r="J240">
        <f>'Client Master Data'!I240+'Client Master Data'!J240+H240+I240</f>
        <v>140</v>
      </c>
    </row>
    <row r="241" spans="1:10">
      <c r="A241">
        <v>1459</v>
      </c>
      <c r="B241" t="s">
        <v>963</v>
      </c>
      <c r="C241" t="s">
        <v>964</v>
      </c>
      <c r="D241">
        <v>498902</v>
      </c>
      <c r="E241" t="s">
        <v>600</v>
      </c>
      <c r="F241" t="s">
        <v>23</v>
      </c>
      <c r="G241" t="str">
        <f t="shared" si="6"/>
        <v>Yes</v>
      </c>
      <c r="H241">
        <f t="shared" si="7"/>
        <v>70</v>
      </c>
      <c r="I241" s="1">
        <f>IF(COUNTIF('Transaction Data'!A:A,A241)&gt;5,20,0)+IF(COUNTIFS('Transaction Data'!A:A,A241,'Transaction Data'!G:G,"Yes")&gt;2,30,0)</f>
        <v>0</v>
      </c>
      <c r="J241">
        <f>'Client Master Data'!I241+'Client Master Data'!J241+H241+I241</f>
        <v>140</v>
      </c>
    </row>
    <row r="242" spans="1:10">
      <c r="A242">
        <v>1071</v>
      </c>
      <c r="B242" t="s">
        <v>965</v>
      </c>
      <c r="C242" t="s">
        <v>866</v>
      </c>
      <c r="D242">
        <v>406753</v>
      </c>
      <c r="E242" t="s">
        <v>588</v>
      </c>
      <c r="F242" t="s">
        <v>23</v>
      </c>
      <c r="G242" t="str">
        <f t="shared" si="6"/>
        <v>Yes</v>
      </c>
      <c r="H242">
        <f t="shared" si="7"/>
        <v>70</v>
      </c>
      <c r="I242" s="1">
        <f>IF(COUNTIF('Transaction Data'!A:A,A242)&gt;5,20,0)+IF(COUNTIFS('Transaction Data'!A:A,A242,'Transaction Data'!G:G,"Yes")&gt;2,30,0)</f>
        <v>30</v>
      </c>
      <c r="J242">
        <f>'Client Master Data'!I242+'Client Master Data'!J242+H242+I242</f>
        <v>130</v>
      </c>
    </row>
    <row r="243" spans="1:10">
      <c r="A243">
        <v>1364</v>
      </c>
      <c r="B243" t="s">
        <v>966</v>
      </c>
      <c r="C243" t="s">
        <v>967</v>
      </c>
      <c r="D243">
        <v>102825</v>
      </c>
      <c r="E243" t="s">
        <v>588</v>
      </c>
      <c r="F243" t="s">
        <v>54</v>
      </c>
      <c r="G243" t="str">
        <f t="shared" si="6"/>
        <v>Yes</v>
      </c>
      <c r="H243">
        <f t="shared" si="7"/>
        <v>70</v>
      </c>
      <c r="I243" s="1">
        <f>IF(COUNTIF('Transaction Data'!A:A,A243)&gt;5,20,0)+IF(COUNTIFS('Transaction Data'!A:A,A243,'Transaction Data'!G:G,"Yes")&gt;2,30,0)</f>
        <v>0</v>
      </c>
      <c r="J243">
        <f>'Client Master Data'!I243+'Client Master Data'!J243+H243+I243</f>
        <v>130</v>
      </c>
    </row>
    <row r="244" spans="1:10">
      <c r="A244">
        <v>1549</v>
      </c>
      <c r="B244" t="s">
        <v>968</v>
      </c>
      <c r="C244" t="s">
        <v>685</v>
      </c>
      <c r="D244">
        <v>476863</v>
      </c>
      <c r="E244" t="s">
        <v>593</v>
      </c>
      <c r="F244" t="s">
        <v>54</v>
      </c>
      <c r="G244" t="str">
        <f t="shared" si="6"/>
        <v>Yes</v>
      </c>
      <c r="H244">
        <f t="shared" si="7"/>
        <v>70</v>
      </c>
      <c r="I244" s="1">
        <f>IF(COUNTIF('Transaction Data'!A:A,A244)&gt;5,20,0)+IF(COUNTIFS('Transaction Data'!A:A,A244,'Transaction Data'!G:G,"Yes")&gt;2,30,0)</f>
        <v>30</v>
      </c>
      <c r="J244">
        <f>'Client Master Data'!I244+'Client Master Data'!J244+H244+I244</f>
        <v>150</v>
      </c>
    </row>
    <row r="245" spans="1:10">
      <c r="A245">
        <v>1530</v>
      </c>
      <c r="B245" t="s">
        <v>969</v>
      </c>
      <c r="C245" t="s">
        <v>919</v>
      </c>
      <c r="D245">
        <v>372039</v>
      </c>
      <c r="E245" t="s">
        <v>588</v>
      </c>
      <c r="F245" t="s">
        <v>39</v>
      </c>
      <c r="G245" t="str">
        <f t="shared" si="6"/>
        <v>Yes</v>
      </c>
      <c r="H245">
        <f t="shared" si="7"/>
        <v>70</v>
      </c>
      <c r="I245" s="1">
        <f>IF(COUNTIF('Transaction Data'!A:A,A245)&gt;5,20,0)+IF(COUNTIFS('Transaction Data'!A:A,A245,'Transaction Data'!G:G,"Yes")&gt;2,30,0)</f>
        <v>0</v>
      </c>
      <c r="J245">
        <f>'Client Master Data'!I245+'Client Master Data'!J245+H245+I245</f>
        <v>100</v>
      </c>
    </row>
    <row r="246" spans="1:10">
      <c r="A246">
        <v>1464</v>
      </c>
      <c r="B246" t="s">
        <v>970</v>
      </c>
      <c r="C246" t="s">
        <v>773</v>
      </c>
      <c r="D246">
        <v>181456</v>
      </c>
      <c r="E246" t="s">
        <v>593</v>
      </c>
      <c r="F246" t="s">
        <v>17</v>
      </c>
      <c r="G246" t="str">
        <f t="shared" si="6"/>
        <v>Yes</v>
      </c>
      <c r="H246">
        <f t="shared" si="7"/>
        <v>70</v>
      </c>
      <c r="I246" s="1">
        <f>IF(COUNTIF('Transaction Data'!A:A,A246)&gt;5,20,0)+IF(COUNTIFS('Transaction Data'!A:A,A246,'Transaction Data'!G:G,"Yes")&gt;2,30,0)</f>
        <v>50</v>
      </c>
      <c r="J246">
        <f>'Client Master Data'!I246+'Client Master Data'!J246+H246+I246</f>
        <v>170</v>
      </c>
    </row>
    <row r="247" spans="1:10">
      <c r="A247">
        <v>1052</v>
      </c>
      <c r="B247" t="s">
        <v>971</v>
      </c>
      <c r="C247" t="s">
        <v>599</v>
      </c>
      <c r="D247">
        <v>3052</v>
      </c>
      <c r="E247" t="s">
        <v>600</v>
      </c>
      <c r="F247" t="s">
        <v>23</v>
      </c>
      <c r="G247" t="str">
        <f t="shared" si="6"/>
        <v>No</v>
      </c>
      <c r="H247">
        <f t="shared" si="7"/>
        <v>0</v>
      </c>
      <c r="I247" s="1">
        <f>IF(COUNTIF('Transaction Data'!A:A,A247)&gt;5,20,0)+IF(COUNTIFS('Transaction Data'!A:A,A247,'Transaction Data'!G:G,"Yes")&gt;2,30,0)</f>
        <v>0</v>
      </c>
      <c r="J247">
        <f>'Client Master Data'!I247+'Client Master Data'!J247+H247+I247</f>
        <v>50</v>
      </c>
    </row>
    <row r="248" spans="1:10">
      <c r="A248">
        <v>1062</v>
      </c>
      <c r="B248" t="s">
        <v>972</v>
      </c>
      <c r="C248" t="s">
        <v>973</v>
      </c>
      <c r="D248">
        <v>10134</v>
      </c>
      <c r="E248" t="s">
        <v>593</v>
      </c>
      <c r="F248" t="s">
        <v>39</v>
      </c>
      <c r="G248" t="str">
        <f t="shared" si="6"/>
        <v>No</v>
      </c>
      <c r="H248">
        <f t="shared" si="7"/>
        <v>0</v>
      </c>
      <c r="I248" s="1">
        <f>IF(COUNTIF('Transaction Data'!A:A,A248)&gt;5,20,0)+IF(COUNTIFS('Transaction Data'!A:A,A248,'Transaction Data'!G:G,"Yes")&gt;2,30,0)</f>
        <v>0</v>
      </c>
      <c r="J248">
        <f>'Client Master Data'!I248+'Client Master Data'!J248+H248+I248</f>
        <v>70</v>
      </c>
    </row>
    <row r="249" spans="1:10">
      <c r="A249">
        <v>1374</v>
      </c>
      <c r="B249" t="s">
        <v>974</v>
      </c>
      <c r="C249" t="s">
        <v>964</v>
      </c>
      <c r="D249">
        <v>24887</v>
      </c>
      <c r="E249" t="s">
        <v>600</v>
      </c>
      <c r="F249" t="s">
        <v>27</v>
      </c>
      <c r="G249" t="str">
        <f t="shared" si="6"/>
        <v>No</v>
      </c>
      <c r="H249">
        <f t="shared" si="7"/>
        <v>0</v>
      </c>
      <c r="I249" s="1">
        <f>IF(COUNTIF('Transaction Data'!A:A,A249)&gt;5,20,0)+IF(COUNTIFS('Transaction Data'!A:A,A249,'Transaction Data'!G:G,"Yes")&gt;2,30,0)</f>
        <v>0</v>
      </c>
      <c r="J249">
        <f>'Client Master Data'!I249+'Client Master Data'!J249+H249+I249</f>
        <v>50</v>
      </c>
    </row>
    <row r="250" spans="1:10">
      <c r="A250">
        <v>1475</v>
      </c>
      <c r="B250" t="s">
        <v>975</v>
      </c>
      <c r="C250" t="s">
        <v>625</v>
      </c>
      <c r="D250">
        <v>107069</v>
      </c>
      <c r="E250" t="s">
        <v>593</v>
      </c>
      <c r="F250" t="s">
        <v>17</v>
      </c>
      <c r="G250" t="str">
        <f t="shared" si="6"/>
        <v>Yes</v>
      </c>
      <c r="H250">
        <f t="shared" si="7"/>
        <v>70</v>
      </c>
      <c r="I250" s="1">
        <f>IF(COUNTIF('Transaction Data'!A:A,A250)&gt;5,20,0)+IF(COUNTIFS('Transaction Data'!A:A,A250,'Transaction Data'!G:G,"Yes")&gt;2,30,0)</f>
        <v>30</v>
      </c>
      <c r="J250">
        <f>'Client Master Data'!I250+'Client Master Data'!J250+H250+I250</f>
        <v>130</v>
      </c>
    </row>
    <row r="251" spans="1:10">
      <c r="A251">
        <v>1397</v>
      </c>
      <c r="B251" t="s">
        <v>976</v>
      </c>
      <c r="C251" t="s">
        <v>973</v>
      </c>
      <c r="D251">
        <v>97629</v>
      </c>
      <c r="E251" t="s">
        <v>600</v>
      </c>
      <c r="F251" t="s">
        <v>17</v>
      </c>
      <c r="G251" t="str">
        <f t="shared" si="6"/>
        <v>Yes</v>
      </c>
      <c r="H251">
        <f t="shared" si="7"/>
        <v>40</v>
      </c>
      <c r="I251" s="1">
        <f>IF(COUNTIF('Transaction Data'!A:A,A251)&gt;5,20,0)+IF(COUNTIFS('Transaction Data'!A:A,A251,'Transaction Data'!G:G,"Yes")&gt;2,30,0)</f>
        <v>30</v>
      </c>
      <c r="J251">
        <f>'Client Master Data'!I251+'Client Master Data'!J251+H251+I251</f>
        <v>130</v>
      </c>
    </row>
    <row r="252" spans="1:10">
      <c r="A252">
        <v>1516</v>
      </c>
      <c r="B252" t="s">
        <v>977</v>
      </c>
      <c r="C252" t="s">
        <v>758</v>
      </c>
      <c r="D252">
        <v>98913</v>
      </c>
      <c r="E252" t="s">
        <v>593</v>
      </c>
      <c r="F252" t="s">
        <v>23</v>
      </c>
      <c r="G252" t="str">
        <f t="shared" si="6"/>
        <v>No</v>
      </c>
      <c r="H252">
        <f t="shared" si="7"/>
        <v>0</v>
      </c>
      <c r="I252" s="1">
        <f>IF(COUNTIF('Transaction Data'!A:A,A252)&gt;5,20,0)+IF(COUNTIFS('Transaction Data'!A:A,A252,'Transaction Data'!G:G,"Yes")&gt;2,30,0)</f>
        <v>30</v>
      </c>
      <c r="J252">
        <f>'Client Master Data'!I252+'Client Master Data'!J252+H252+I252</f>
        <v>60</v>
      </c>
    </row>
    <row r="253" spans="1:10">
      <c r="A253">
        <v>1145</v>
      </c>
      <c r="B253" t="s">
        <v>978</v>
      </c>
      <c r="C253" t="s">
        <v>614</v>
      </c>
      <c r="D253">
        <v>467703</v>
      </c>
      <c r="E253" t="s">
        <v>593</v>
      </c>
      <c r="F253" t="s">
        <v>23</v>
      </c>
      <c r="G253" t="str">
        <f t="shared" si="6"/>
        <v>Yes</v>
      </c>
      <c r="H253">
        <f t="shared" si="7"/>
        <v>70</v>
      </c>
      <c r="I253" s="1">
        <f>IF(COUNTIF('Transaction Data'!A:A,A253)&gt;5,20,0)+IF(COUNTIFS('Transaction Data'!A:A,A253,'Transaction Data'!G:G,"Yes")&gt;2,30,0)</f>
        <v>30</v>
      </c>
      <c r="J253">
        <f>'Client Master Data'!I253+'Client Master Data'!J253+H253+I253</f>
        <v>160</v>
      </c>
    </row>
    <row r="254" spans="1:10">
      <c r="A254">
        <v>1370</v>
      </c>
      <c r="B254" t="s">
        <v>979</v>
      </c>
      <c r="C254" t="s">
        <v>778</v>
      </c>
      <c r="D254">
        <v>199850</v>
      </c>
      <c r="E254" t="s">
        <v>593</v>
      </c>
      <c r="F254" t="s">
        <v>39</v>
      </c>
      <c r="G254" t="str">
        <f t="shared" si="6"/>
        <v>Yes</v>
      </c>
      <c r="H254">
        <f t="shared" si="7"/>
        <v>70</v>
      </c>
      <c r="I254" s="1">
        <f>IF(COUNTIF('Transaction Data'!A:A,A254)&gt;5,20,0)+IF(COUNTIFS('Transaction Data'!A:A,A254,'Transaction Data'!G:G,"Yes")&gt;2,30,0)</f>
        <v>30</v>
      </c>
      <c r="J254">
        <f>'Client Master Data'!I254+'Client Master Data'!J254+H254+I254</f>
        <v>120</v>
      </c>
    </row>
    <row r="255" spans="1:10">
      <c r="A255">
        <v>1532</v>
      </c>
      <c r="B255" t="s">
        <v>980</v>
      </c>
      <c r="C255" t="s">
        <v>981</v>
      </c>
      <c r="D255">
        <v>51417</v>
      </c>
      <c r="E255" t="s">
        <v>588</v>
      </c>
      <c r="F255" t="s">
        <v>23</v>
      </c>
      <c r="G255" t="str">
        <f t="shared" si="6"/>
        <v>No</v>
      </c>
      <c r="H255">
        <f t="shared" si="7"/>
        <v>0</v>
      </c>
      <c r="I255" s="1">
        <f>IF(COUNTIF('Transaction Data'!A:A,A255)&gt;5,20,0)+IF(COUNTIFS('Transaction Data'!A:A,A255,'Transaction Data'!G:G,"Yes")&gt;2,30,0)</f>
        <v>0</v>
      </c>
      <c r="J255">
        <f>'Client Master Data'!I255+'Client Master Data'!J255+H255+I255</f>
        <v>50</v>
      </c>
    </row>
    <row r="256" spans="1:10">
      <c r="A256">
        <v>1459</v>
      </c>
      <c r="B256" t="s">
        <v>982</v>
      </c>
      <c r="C256" t="s">
        <v>758</v>
      </c>
      <c r="D256">
        <v>33860</v>
      </c>
      <c r="E256" t="s">
        <v>600</v>
      </c>
      <c r="F256" t="s">
        <v>27</v>
      </c>
      <c r="G256" t="str">
        <f t="shared" si="6"/>
        <v>No</v>
      </c>
      <c r="H256">
        <f t="shared" si="7"/>
        <v>0</v>
      </c>
      <c r="I256" s="1">
        <f>IF(COUNTIF('Transaction Data'!A:A,A256)&gt;5,20,0)+IF(COUNTIFS('Transaction Data'!A:A,A256,'Transaction Data'!G:G,"Yes")&gt;2,30,0)</f>
        <v>0</v>
      </c>
      <c r="J256">
        <f>'Client Master Data'!I256+'Client Master Data'!J256+H256+I256</f>
        <v>70</v>
      </c>
    </row>
    <row r="257" spans="1:10">
      <c r="A257">
        <v>1076</v>
      </c>
      <c r="B257" t="s">
        <v>983</v>
      </c>
      <c r="C257" t="s">
        <v>984</v>
      </c>
      <c r="D257">
        <v>284164</v>
      </c>
      <c r="E257" t="s">
        <v>588</v>
      </c>
      <c r="F257" t="s">
        <v>54</v>
      </c>
      <c r="G257" t="str">
        <f t="shared" si="6"/>
        <v>Yes</v>
      </c>
      <c r="H257">
        <f t="shared" si="7"/>
        <v>70</v>
      </c>
      <c r="I257" s="1">
        <f>IF(COUNTIF('Transaction Data'!A:A,A257)&gt;5,20,0)+IF(COUNTIFS('Transaction Data'!A:A,A257,'Transaction Data'!G:G,"Yes")&gt;2,30,0)</f>
        <v>30</v>
      </c>
      <c r="J257">
        <f>'Client Master Data'!I257+'Client Master Data'!J257+H257+I257</f>
        <v>150</v>
      </c>
    </row>
    <row r="258" spans="1:10">
      <c r="A258">
        <v>1507</v>
      </c>
      <c r="B258" t="s">
        <v>985</v>
      </c>
      <c r="C258" t="s">
        <v>627</v>
      </c>
      <c r="D258">
        <v>159341</v>
      </c>
      <c r="E258" t="s">
        <v>600</v>
      </c>
      <c r="F258" t="s">
        <v>23</v>
      </c>
      <c r="G258" t="str">
        <f t="shared" ref="G258:G321" si="8">IF(OR(D258&gt;100000,F258="UAE",F258="Nigeria"),"Yes","No")</f>
        <v>Yes</v>
      </c>
      <c r="H258">
        <f t="shared" si="7"/>
        <v>70</v>
      </c>
      <c r="I258" s="1">
        <f>IF(COUNTIF('Transaction Data'!A:A,A258)&gt;5,20,0)+IF(COUNTIFS('Transaction Data'!A:A,A258,'Transaction Data'!G:G,"Yes")&gt;2,30,0)</f>
        <v>30</v>
      </c>
      <c r="J258">
        <f>'Client Master Data'!I258+'Client Master Data'!J258+H258+I258</f>
        <v>150</v>
      </c>
    </row>
    <row r="259" spans="1:10">
      <c r="A259">
        <v>1395</v>
      </c>
      <c r="B259" t="s">
        <v>986</v>
      </c>
      <c r="C259" t="s">
        <v>987</v>
      </c>
      <c r="D259">
        <v>53989</v>
      </c>
      <c r="E259" t="s">
        <v>588</v>
      </c>
      <c r="F259" t="s">
        <v>54</v>
      </c>
      <c r="G259" t="str">
        <f t="shared" si="8"/>
        <v>Yes</v>
      </c>
      <c r="H259">
        <f t="shared" ref="H259:H322" si="9">IF(D259&gt;100000,30,0)+IF(TRIM(LOWER(G259))="yes",40,0)</f>
        <v>40</v>
      </c>
      <c r="I259" s="1">
        <f>IF(COUNTIF('Transaction Data'!A:A,A259)&gt;5,20,0)+IF(COUNTIFS('Transaction Data'!A:A,A259,'Transaction Data'!G:G,"Yes")&gt;2,30,0)</f>
        <v>0</v>
      </c>
      <c r="J259">
        <f>'Client Master Data'!I259+'Client Master Data'!J259+H259+I259</f>
        <v>90</v>
      </c>
    </row>
    <row r="260" spans="1:10">
      <c r="A260">
        <v>1469</v>
      </c>
      <c r="B260" t="s">
        <v>988</v>
      </c>
      <c r="C260" t="s">
        <v>989</v>
      </c>
      <c r="D260">
        <v>294138</v>
      </c>
      <c r="E260" t="s">
        <v>593</v>
      </c>
      <c r="F260" t="s">
        <v>39</v>
      </c>
      <c r="G260" t="str">
        <f t="shared" si="8"/>
        <v>Yes</v>
      </c>
      <c r="H260">
        <f t="shared" si="9"/>
        <v>70</v>
      </c>
      <c r="I260" s="1">
        <f>IF(COUNTIF('Transaction Data'!A:A,A260)&gt;5,20,0)+IF(COUNTIFS('Transaction Data'!A:A,A260,'Transaction Data'!G:G,"Yes")&gt;2,30,0)</f>
        <v>30</v>
      </c>
      <c r="J260">
        <f>'Client Master Data'!I260+'Client Master Data'!J260+H260+I260</f>
        <v>150</v>
      </c>
    </row>
    <row r="261" spans="1:10">
      <c r="A261">
        <v>1055</v>
      </c>
      <c r="B261" t="s">
        <v>990</v>
      </c>
      <c r="C261" t="s">
        <v>991</v>
      </c>
      <c r="D261">
        <v>429332</v>
      </c>
      <c r="E261" t="s">
        <v>600</v>
      </c>
      <c r="F261" t="s">
        <v>11</v>
      </c>
      <c r="G261" t="str">
        <f t="shared" si="8"/>
        <v>Yes</v>
      </c>
      <c r="H261">
        <f t="shared" si="9"/>
        <v>70</v>
      </c>
      <c r="I261" s="1">
        <f>IF(COUNTIF('Transaction Data'!A:A,A261)&gt;5,20,0)+IF(COUNTIFS('Transaction Data'!A:A,A261,'Transaction Data'!G:G,"Yes")&gt;2,30,0)</f>
        <v>0</v>
      </c>
      <c r="J261">
        <f>'Client Master Data'!I261+'Client Master Data'!J261+H261+I261</f>
        <v>90</v>
      </c>
    </row>
    <row r="262" spans="1:10">
      <c r="A262">
        <v>1476</v>
      </c>
      <c r="B262" t="s">
        <v>992</v>
      </c>
      <c r="C262" t="s">
        <v>629</v>
      </c>
      <c r="D262">
        <v>214498</v>
      </c>
      <c r="E262" t="s">
        <v>600</v>
      </c>
      <c r="F262" t="s">
        <v>54</v>
      </c>
      <c r="G262" t="str">
        <f t="shared" si="8"/>
        <v>Yes</v>
      </c>
      <c r="H262">
        <f t="shared" si="9"/>
        <v>70</v>
      </c>
      <c r="I262" s="1">
        <f>IF(COUNTIF('Transaction Data'!A:A,A262)&gt;5,20,0)+IF(COUNTIFS('Transaction Data'!A:A,A262,'Transaction Data'!G:G,"Yes")&gt;2,30,0)</f>
        <v>0</v>
      </c>
      <c r="J262">
        <f>'Client Master Data'!I262+'Client Master Data'!J262+H262+I262</f>
        <v>130</v>
      </c>
    </row>
    <row r="263" spans="1:10">
      <c r="A263">
        <v>1524</v>
      </c>
      <c r="B263" t="s">
        <v>993</v>
      </c>
      <c r="C263" t="s">
        <v>717</v>
      </c>
      <c r="D263">
        <v>73398</v>
      </c>
      <c r="E263" t="s">
        <v>600</v>
      </c>
      <c r="F263" t="s">
        <v>11</v>
      </c>
      <c r="G263" t="str">
        <f t="shared" si="8"/>
        <v>No</v>
      </c>
      <c r="H263">
        <f t="shared" si="9"/>
        <v>0</v>
      </c>
      <c r="I263" s="1">
        <f>IF(COUNTIF('Transaction Data'!A:A,A263)&gt;5,20,0)+IF(COUNTIFS('Transaction Data'!A:A,A263,'Transaction Data'!G:G,"Yes")&gt;2,30,0)</f>
        <v>0</v>
      </c>
      <c r="J263">
        <f>'Client Master Data'!I263+'Client Master Data'!J263+H263+I263</f>
        <v>50</v>
      </c>
    </row>
    <row r="264" spans="1:10">
      <c r="A264">
        <v>1447</v>
      </c>
      <c r="B264" t="s">
        <v>994</v>
      </c>
      <c r="C264" t="s">
        <v>937</v>
      </c>
      <c r="D264">
        <v>407756</v>
      </c>
      <c r="E264" t="s">
        <v>600</v>
      </c>
      <c r="F264" t="s">
        <v>17</v>
      </c>
      <c r="G264" t="str">
        <f t="shared" si="8"/>
        <v>Yes</v>
      </c>
      <c r="H264">
        <f t="shared" si="9"/>
        <v>70</v>
      </c>
      <c r="I264" s="1">
        <f>IF(COUNTIF('Transaction Data'!A:A,A264)&gt;5,20,0)+IF(COUNTIFS('Transaction Data'!A:A,A264,'Transaction Data'!G:G,"Yes")&gt;2,30,0)</f>
        <v>30</v>
      </c>
      <c r="J264">
        <f>'Client Master Data'!I264+'Client Master Data'!J264+H264+I264</f>
        <v>120</v>
      </c>
    </row>
    <row r="265" spans="1:10">
      <c r="A265">
        <v>1125</v>
      </c>
      <c r="B265" t="s">
        <v>995</v>
      </c>
      <c r="C265" t="s">
        <v>789</v>
      </c>
      <c r="D265">
        <v>44612</v>
      </c>
      <c r="E265" t="s">
        <v>588</v>
      </c>
      <c r="F265" t="s">
        <v>11</v>
      </c>
      <c r="G265" t="str">
        <f t="shared" si="8"/>
        <v>No</v>
      </c>
      <c r="H265">
        <f t="shared" si="9"/>
        <v>0</v>
      </c>
      <c r="I265" s="1">
        <f>IF(COUNTIF('Transaction Data'!A:A,A265)&gt;5,20,0)+IF(COUNTIFS('Transaction Data'!A:A,A265,'Transaction Data'!G:G,"Yes")&gt;2,30,0)</f>
        <v>0</v>
      </c>
      <c r="J265">
        <f>'Client Master Data'!I265+'Client Master Data'!J265+H265+I265</f>
        <v>20</v>
      </c>
    </row>
    <row r="266" spans="1:10">
      <c r="A266">
        <v>1257</v>
      </c>
      <c r="B266" t="s">
        <v>996</v>
      </c>
      <c r="C266" t="s">
        <v>997</v>
      </c>
      <c r="D266">
        <v>290666</v>
      </c>
      <c r="E266" t="s">
        <v>588</v>
      </c>
      <c r="F266" t="s">
        <v>23</v>
      </c>
      <c r="G266" t="str">
        <f t="shared" si="8"/>
        <v>Yes</v>
      </c>
      <c r="H266">
        <f t="shared" si="9"/>
        <v>70</v>
      </c>
      <c r="I266" s="1">
        <f>IF(COUNTIF('Transaction Data'!A:A,A266)&gt;5,20,0)+IF(COUNTIFS('Transaction Data'!A:A,A266,'Transaction Data'!G:G,"Yes")&gt;2,30,0)</f>
        <v>30</v>
      </c>
      <c r="J266">
        <f>'Client Master Data'!I266+'Client Master Data'!J266+H266+I266</f>
        <v>130</v>
      </c>
    </row>
    <row r="267" spans="1:10">
      <c r="A267">
        <v>1092</v>
      </c>
      <c r="B267" t="s">
        <v>998</v>
      </c>
      <c r="C267" t="s">
        <v>792</v>
      </c>
      <c r="D267">
        <v>254200</v>
      </c>
      <c r="E267" t="s">
        <v>600</v>
      </c>
      <c r="F267" t="s">
        <v>23</v>
      </c>
      <c r="G267" t="str">
        <f t="shared" si="8"/>
        <v>Yes</v>
      </c>
      <c r="H267">
        <f t="shared" si="9"/>
        <v>70</v>
      </c>
      <c r="I267" s="1">
        <f>IF(COUNTIF('Transaction Data'!A:A,A267)&gt;5,20,0)+IF(COUNTIFS('Transaction Data'!A:A,A267,'Transaction Data'!G:G,"Yes")&gt;2,30,0)</f>
        <v>0</v>
      </c>
      <c r="J267">
        <f>'Client Master Data'!I267+'Client Master Data'!J267+H267+I267</f>
        <v>120</v>
      </c>
    </row>
    <row r="268" spans="1:10">
      <c r="A268">
        <v>1009</v>
      </c>
      <c r="B268" t="s">
        <v>999</v>
      </c>
      <c r="C268" t="s">
        <v>751</v>
      </c>
      <c r="D268">
        <v>151886</v>
      </c>
      <c r="E268" t="s">
        <v>600</v>
      </c>
      <c r="F268" t="s">
        <v>11</v>
      </c>
      <c r="G268" t="str">
        <f t="shared" si="8"/>
        <v>Yes</v>
      </c>
      <c r="H268">
        <f t="shared" si="9"/>
        <v>70</v>
      </c>
      <c r="I268" s="1">
        <f>IF(COUNTIF('Transaction Data'!A:A,A268)&gt;5,20,0)+IF(COUNTIFS('Transaction Data'!A:A,A268,'Transaction Data'!G:G,"Yes")&gt;2,30,0)</f>
        <v>30</v>
      </c>
      <c r="J268">
        <f>'Client Master Data'!I268+'Client Master Data'!J268+H268+I268</f>
        <v>150</v>
      </c>
    </row>
    <row r="269" spans="1:10">
      <c r="A269">
        <v>1119</v>
      </c>
      <c r="B269" t="s">
        <v>1000</v>
      </c>
      <c r="C269" t="s">
        <v>610</v>
      </c>
      <c r="D269">
        <v>109259</v>
      </c>
      <c r="E269" t="s">
        <v>593</v>
      </c>
      <c r="F269" t="s">
        <v>17</v>
      </c>
      <c r="G269" t="str">
        <f t="shared" si="8"/>
        <v>Yes</v>
      </c>
      <c r="H269">
        <f t="shared" si="9"/>
        <v>70</v>
      </c>
      <c r="I269" s="1">
        <f>IF(COUNTIF('Transaction Data'!A:A,A269)&gt;5,20,0)+IF(COUNTIFS('Transaction Data'!A:A,A269,'Transaction Data'!G:G,"Yes")&gt;2,30,0)</f>
        <v>30</v>
      </c>
      <c r="J269">
        <f>'Client Master Data'!I269+'Client Master Data'!J269+H269+I269</f>
        <v>150</v>
      </c>
    </row>
    <row r="270" spans="1:10">
      <c r="A270">
        <v>1547</v>
      </c>
      <c r="B270" t="s">
        <v>1001</v>
      </c>
      <c r="C270" t="s">
        <v>807</v>
      </c>
      <c r="D270">
        <v>398313</v>
      </c>
      <c r="E270" t="s">
        <v>593</v>
      </c>
      <c r="F270" t="s">
        <v>23</v>
      </c>
      <c r="G270" t="str">
        <f t="shared" si="8"/>
        <v>Yes</v>
      </c>
      <c r="H270">
        <f t="shared" si="9"/>
        <v>70</v>
      </c>
      <c r="I270" s="1">
        <f>IF(COUNTIF('Transaction Data'!A:A,A270)&gt;5,20,0)+IF(COUNTIFS('Transaction Data'!A:A,A270,'Transaction Data'!G:G,"Yes")&gt;2,30,0)</f>
        <v>0</v>
      </c>
      <c r="J270">
        <f>'Client Master Data'!I270+'Client Master Data'!J270+H270+I270</f>
        <v>140</v>
      </c>
    </row>
    <row r="271" spans="1:10">
      <c r="A271">
        <v>1080</v>
      </c>
      <c r="B271" t="s">
        <v>1002</v>
      </c>
      <c r="C271" t="s">
        <v>743</v>
      </c>
      <c r="D271">
        <v>479145</v>
      </c>
      <c r="E271" t="s">
        <v>588</v>
      </c>
      <c r="F271" t="s">
        <v>39</v>
      </c>
      <c r="G271" t="str">
        <f t="shared" si="8"/>
        <v>Yes</v>
      </c>
      <c r="H271">
        <f t="shared" si="9"/>
        <v>70</v>
      </c>
      <c r="I271" s="1">
        <f>IF(COUNTIF('Transaction Data'!A:A,A271)&gt;5,20,0)+IF(COUNTIFS('Transaction Data'!A:A,A271,'Transaction Data'!G:G,"Yes")&gt;2,30,0)</f>
        <v>30</v>
      </c>
      <c r="J271">
        <f>'Client Master Data'!I271+'Client Master Data'!J271+H271+I271</f>
        <v>170</v>
      </c>
    </row>
    <row r="272" spans="1:10">
      <c r="A272">
        <v>1344</v>
      </c>
      <c r="B272" t="s">
        <v>1003</v>
      </c>
      <c r="C272" t="s">
        <v>642</v>
      </c>
      <c r="D272">
        <v>309759</v>
      </c>
      <c r="E272" t="s">
        <v>588</v>
      </c>
      <c r="F272" t="s">
        <v>17</v>
      </c>
      <c r="G272" t="str">
        <f t="shared" si="8"/>
        <v>Yes</v>
      </c>
      <c r="H272">
        <f t="shared" si="9"/>
        <v>70</v>
      </c>
      <c r="I272" s="1">
        <f>IF(COUNTIF('Transaction Data'!A:A,A272)&gt;5,20,0)+IF(COUNTIFS('Transaction Data'!A:A,A272,'Transaction Data'!G:G,"Yes")&gt;2,30,0)</f>
        <v>30</v>
      </c>
      <c r="J272">
        <f>'Client Master Data'!I272+'Client Master Data'!J272+H272+I272</f>
        <v>160</v>
      </c>
    </row>
    <row r="273" spans="1:10">
      <c r="A273">
        <v>1097</v>
      </c>
      <c r="B273" t="s">
        <v>1004</v>
      </c>
      <c r="C273" t="s">
        <v>767</v>
      </c>
      <c r="D273">
        <v>424853</v>
      </c>
      <c r="E273" t="s">
        <v>588</v>
      </c>
      <c r="F273" t="s">
        <v>11</v>
      </c>
      <c r="G273" t="str">
        <f t="shared" si="8"/>
        <v>Yes</v>
      </c>
      <c r="H273">
        <f t="shared" si="9"/>
        <v>70</v>
      </c>
      <c r="I273" s="1">
        <f>IF(COUNTIF('Transaction Data'!A:A,A273)&gt;5,20,0)+IF(COUNTIFS('Transaction Data'!A:A,A273,'Transaction Data'!G:G,"Yes")&gt;2,30,0)</f>
        <v>30</v>
      </c>
      <c r="J273">
        <f>'Client Master Data'!I273+'Client Master Data'!J273+H273+I273</f>
        <v>150</v>
      </c>
    </row>
    <row r="274" spans="1:10">
      <c r="A274">
        <v>1048</v>
      </c>
      <c r="B274" t="s">
        <v>1005</v>
      </c>
      <c r="C274" t="s">
        <v>1006</v>
      </c>
      <c r="D274">
        <v>118939</v>
      </c>
      <c r="E274" t="s">
        <v>593</v>
      </c>
      <c r="F274" t="s">
        <v>27</v>
      </c>
      <c r="G274" t="str">
        <f t="shared" si="8"/>
        <v>Yes</v>
      </c>
      <c r="H274">
        <f t="shared" si="9"/>
        <v>70</v>
      </c>
      <c r="I274" s="1">
        <f>IF(COUNTIF('Transaction Data'!A:A,A274)&gt;5,20,0)+IF(COUNTIFS('Transaction Data'!A:A,A274,'Transaction Data'!G:G,"Yes")&gt;2,30,0)</f>
        <v>30</v>
      </c>
      <c r="J274">
        <f>'Client Master Data'!I274+'Client Master Data'!J274+H274+I274</f>
        <v>120</v>
      </c>
    </row>
    <row r="275" spans="1:10">
      <c r="A275">
        <v>1041</v>
      </c>
      <c r="B275" t="s">
        <v>1007</v>
      </c>
      <c r="C275" t="s">
        <v>751</v>
      </c>
      <c r="D275">
        <v>95204</v>
      </c>
      <c r="E275" t="s">
        <v>588</v>
      </c>
      <c r="F275" t="s">
        <v>39</v>
      </c>
      <c r="G275" t="str">
        <f t="shared" si="8"/>
        <v>No</v>
      </c>
      <c r="H275">
        <f t="shared" si="9"/>
        <v>0</v>
      </c>
      <c r="I275" s="1">
        <f>IF(COUNTIF('Transaction Data'!A:A,A275)&gt;5,20,0)+IF(COUNTIFS('Transaction Data'!A:A,A275,'Transaction Data'!G:G,"Yes")&gt;2,30,0)</f>
        <v>0</v>
      </c>
      <c r="J275">
        <f>'Client Master Data'!I275+'Client Master Data'!J275+H275+I275</f>
        <v>50</v>
      </c>
    </row>
    <row r="276" spans="1:10">
      <c r="A276">
        <v>1546</v>
      </c>
      <c r="B276" t="s">
        <v>1008</v>
      </c>
      <c r="C276" t="s">
        <v>946</v>
      </c>
      <c r="D276">
        <v>190848</v>
      </c>
      <c r="E276" t="s">
        <v>600</v>
      </c>
      <c r="F276" t="s">
        <v>27</v>
      </c>
      <c r="G276" t="str">
        <f t="shared" si="8"/>
        <v>Yes</v>
      </c>
      <c r="H276">
        <f t="shared" si="9"/>
        <v>70</v>
      </c>
      <c r="I276" s="1">
        <f>IF(COUNTIF('Transaction Data'!A:A,A276)&gt;5,20,0)+IF(COUNTIFS('Transaction Data'!A:A,A276,'Transaction Data'!G:G,"Yes")&gt;2,30,0)</f>
        <v>30</v>
      </c>
      <c r="J276">
        <f>'Client Master Data'!I276+'Client Master Data'!J276+H276+I276</f>
        <v>160</v>
      </c>
    </row>
    <row r="277" spans="1:10">
      <c r="A277">
        <v>1006</v>
      </c>
      <c r="B277" t="s">
        <v>1009</v>
      </c>
      <c r="C277" t="s">
        <v>831</v>
      </c>
      <c r="D277">
        <v>20199</v>
      </c>
      <c r="E277" t="s">
        <v>593</v>
      </c>
      <c r="F277" t="s">
        <v>11</v>
      </c>
      <c r="G277" t="str">
        <f t="shared" si="8"/>
        <v>No</v>
      </c>
      <c r="H277">
        <f t="shared" si="9"/>
        <v>0</v>
      </c>
      <c r="I277" s="1">
        <f>IF(COUNTIF('Transaction Data'!A:A,A277)&gt;5,20,0)+IF(COUNTIFS('Transaction Data'!A:A,A277,'Transaction Data'!G:G,"Yes")&gt;2,30,0)</f>
        <v>0</v>
      </c>
      <c r="J277">
        <f>'Client Master Data'!I277+'Client Master Data'!J277+H277+I277</f>
        <v>50</v>
      </c>
    </row>
    <row r="278" spans="1:10">
      <c r="A278">
        <v>1007</v>
      </c>
      <c r="B278" t="s">
        <v>1010</v>
      </c>
      <c r="C278" t="s">
        <v>919</v>
      </c>
      <c r="D278">
        <v>319905</v>
      </c>
      <c r="E278" t="s">
        <v>600</v>
      </c>
      <c r="F278" t="s">
        <v>39</v>
      </c>
      <c r="G278" t="str">
        <f t="shared" si="8"/>
        <v>Yes</v>
      </c>
      <c r="H278">
        <f t="shared" si="9"/>
        <v>70</v>
      </c>
      <c r="I278" s="1">
        <f>IF(COUNTIF('Transaction Data'!A:A,A278)&gt;5,20,0)+IF(COUNTIFS('Transaction Data'!A:A,A278,'Transaction Data'!G:G,"Yes")&gt;2,30,0)</f>
        <v>0</v>
      </c>
      <c r="J278">
        <f>'Client Master Data'!I278+'Client Master Data'!J278+H278+I278</f>
        <v>120</v>
      </c>
    </row>
    <row r="279" spans="1:10">
      <c r="A279">
        <v>1072</v>
      </c>
      <c r="B279" t="s">
        <v>1011</v>
      </c>
      <c r="C279" t="s">
        <v>658</v>
      </c>
      <c r="D279">
        <v>425434</v>
      </c>
      <c r="E279" t="s">
        <v>600</v>
      </c>
      <c r="F279" t="s">
        <v>11</v>
      </c>
      <c r="G279" t="str">
        <f t="shared" si="8"/>
        <v>Yes</v>
      </c>
      <c r="H279">
        <f t="shared" si="9"/>
        <v>70</v>
      </c>
      <c r="I279" s="1">
        <f>IF(COUNTIF('Transaction Data'!A:A,A279)&gt;5,20,0)+IF(COUNTIFS('Transaction Data'!A:A,A279,'Transaction Data'!G:G,"Yes")&gt;2,30,0)</f>
        <v>0</v>
      </c>
      <c r="J279">
        <f>'Client Master Data'!I279+'Client Master Data'!J279+H279+I279</f>
        <v>130</v>
      </c>
    </row>
    <row r="280" spans="1:10">
      <c r="A280">
        <v>1427</v>
      </c>
      <c r="B280" t="s">
        <v>1012</v>
      </c>
      <c r="C280" t="s">
        <v>731</v>
      </c>
      <c r="D280">
        <v>413934</v>
      </c>
      <c r="E280" t="s">
        <v>593</v>
      </c>
      <c r="F280" t="s">
        <v>11</v>
      </c>
      <c r="G280" t="str">
        <f t="shared" si="8"/>
        <v>Yes</v>
      </c>
      <c r="H280">
        <f t="shared" si="9"/>
        <v>70</v>
      </c>
      <c r="I280" s="1">
        <f>IF(COUNTIF('Transaction Data'!A:A,A280)&gt;5,20,0)+IF(COUNTIFS('Transaction Data'!A:A,A280,'Transaction Data'!G:G,"Yes")&gt;2,30,0)</f>
        <v>50</v>
      </c>
      <c r="J280">
        <f>'Client Master Data'!I280+'Client Master Data'!J280+H280+I280</f>
        <v>160</v>
      </c>
    </row>
    <row r="281" spans="1:10">
      <c r="A281">
        <v>1405</v>
      </c>
      <c r="B281" t="s">
        <v>1013</v>
      </c>
      <c r="C281" t="s">
        <v>1014</v>
      </c>
      <c r="D281">
        <v>375856</v>
      </c>
      <c r="E281" t="s">
        <v>588</v>
      </c>
      <c r="F281" t="s">
        <v>27</v>
      </c>
      <c r="G281" t="str">
        <f t="shared" si="8"/>
        <v>Yes</v>
      </c>
      <c r="H281">
        <f t="shared" si="9"/>
        <v>70</v>
      </c>
      <c r="I281" s="1">
        <f>IF(COUNTIF('Transaction Data'!A:A,A281)&gt;5,20,0)+IF(COUNTIFS('Transaction Data'!A:A,A281,'Transaction Data'!G:G,"Yes")&gt;2,30,0)</f>
        <v>30</v>
      </c>
      <c r="J281">
        <f>'Client Master Data'!I281+'Client Master Data'!J281+H281+I281</f>
        <v>140</v>
      </c>
    </row>
    <row r="282" spans="1:10">
      <c r="A282">
        <v>1157</v>
      </c>
      <c r="B282" t="s">
        <v>1015</v>
      </c>
      <c r="C282" t="s">
        <v>646</v>
      </c>
      <c r="D282">
        <v>171428</v>
      </c>
      <c r="E282" t="s">
        <v>593</v>
      </c>
      <c r="F282" t="s">
        <v>17</v>
      </c>
      <c r="G282" t="str">
        <f t="shared" si="8"/>
        <v>Yes</v>
      </c>
      <c r="H282">
        <f t="shared" si="9"/>
        <v>70</v>
      </c>
      <c r="I282" s="1">
        <f>IF(COUNTIF('Transaction Data'!A:A,A282)&gt;5,20,0)+IF(COUNTIFS('Transaction Data'!A:A,A282,'Transaction Data'!G:G,"Yes")&gt;2,30,0)</f>
        <v>0</v>
      </c>
      <c r="J282">
        <f>'Client Master Data'!I282+'Client Master Data'!J282+H282+I282</f>
        <v>110</v>
      </c>
    </row>
    <row r="283" spans="1:10">
      <c r="A283">
        <v>1004</v>
      </c>
      <c r="B283" t="s">
        <v>1016</v>
      </c>
      <c r="C283" t="s">
        <v>707</v>
      </c>
      <c r="D283">
        <v>151485</v>
      </c>
      <c r="E283" t="s">
        <v>600</v>
      </c>
      <c r="F283" t="s">
        <v>23</v>
      </c>
      <c r="G283" t="str">
        <f t="shared" si="8"/>
        <v>Yes</v>
      </c>
      <c r="H283">
        <f t="shared" si="9"/>
        <v>70</v>
      </c>
      <c r="I283" s="1">
        <f>IF(COUNTIF('Transaction Data'!A:A,A283)&gt;5,20,0)+IF(COUNTIFS('Transaction Data'!A:A,A283,'Transaction Data'!G:G,"Yes")&gt;2,30,0)</f>
        <v>30</v>
      </c>
      <c r="J283">
        <f>'Client Master Data'!I283+'Client Master Data'!J283+H283+I283</f>
        <v>170</v>
      </c>
    </row>
    <row r="284" spans="1:10">
      <c r="A284">
        <v>1150</v>
      </c>
      <c r="B284" t="s">
        <v>1017</v>
      </c>
      <c r="C284" t="s">
        <v>958</v>
      </c>
      <c r="D284">
        <v>99551</v>
      </c>
      <c r="E284" t="s">
        <v>600</v>
      </c>
      <c r="F284" t="s">
        <v>23</v>
      </c>
      <c r="G284" t="str">
        <f t="shared" si="8"/>
        <v>No</v>
      </c>
      <c r="H284">
        <f t="shared" si="9"/>
        <v>0</v>
      </c>
      <c r="I284" s="1">
        <f>IF(COUNTIF('Transaction Data'!A:A,A284)&gt;5,20,0)+IF(COUNTIFS('Transaction Data'!A:A,A284,'Transaction Data'!G:G,"Yes")&gt;2,30,0)</f>
        <v>0</v>
      </c>
      <c r="J284">
        <f>'Client Master Data'!I284+'Client Master Data'!J284+H284+I284</f>
        <v>50</v>
      </c>
    </row>
    <row r="285" spans="1:10">
      <c r="A285">
        <v>1395</v>
      </c>
      <c r="B285" t="s">
        <v>1018</v>
      </c>
      <c r="C285" t="s">
        <v>1019</v>
      </c>
      <c r="D285">
        <v>186620</v>
      </c>
      <c r="E285" t="s">
        <v>588</v>
      </c>
      <c r="F285" t="s">
        <v>23</v>
      </c>
      <c r="G285" t="str">
        <f t="shared" si="8"/>
        <v>Yes</v>
      </c>
      <c r="H285">
        <f t="shared" si="9"/>
        <v>70</v>
      </c>
      <c r="I285" s="1">
        <f>IF(COUNTIF('Transaction Data'!A:A,A285)&gt;5,20,0)+IF(COUNTIFS('Transaction Data'!A:A,A285,'Transaction Data'!G:G,"Yes")&gt;2,30,0)</f>
        <v>0</v>
      </c>
      <c r="J285">
        <f>'Client Master Data'!I285+'Client Master Data'!J285+H285+I285</f>
        <v>100</v>
      </c>
    </row>
    <row r="286" spans="1:10">
      <c r="A286">
        <v>1029</v>
      </c>
      <c r="B286" t="s">
        <v>1020</v>
      </c>
      <c r="C286" t="s">
        <v>767</v>
      </c>
      <c r="D286">
        <v>41960</v>
      </c>
      <c r="E286" t="s">
        <v>588</v>
      </c>
      <c r="F286" t="s">
        <v>39</v>
      </c>
      <c r="G286" t="str">
        <f t="shared" si="8"/>
        <v>No</v>
      </c>
      <c r="H286">
        <f t="shared" si="9"/>
        <v>0</v>
      </c>
      <c r="I286" s="1">
        <f>IF(COUNTIF('Transaction Data'!A:A,A286)&gt;5,20,0)+IF(COUNTIFS('Transaction Data'!A:A,A286,'Transaction Data'!G:G,"Yes")&gt;2,30,0)</f>
        <v>0</v>
      </c>
      <c r="J286">
        <f>'Client Master Data'!I286+'Client Master Data'!J286+H286+I286</f>
        <v>70</v>
      </c>
    </row>
    <row r="287" spans="1:10">
      <c r="A287">
        <v>1087</v>
      </c>
      <c r="B287" t="s">
        <v>1021</v>
      </c>
      <c r="C287" t="s">
        <v>1022</v>
      </c>
      <c r="D287">
        <v>68768</v>
      </c>
      <c r="E287" t="s">
        <v>600</v>
      </c>
      <c r="F287" t="s">
        <v>11</v>
      </c>
      <c r="G287" t="str">
        <f t="shared" si="8"/>
        <v>No</v>
      </c>
      <c r="H287">
        <f t="shared" si="9"/>
        <v>0</v>
      </c>
      <c r="I287" s="1">
        <f>IF(COUNTIF('Transaction Data'!A:A,A287)&gt;5,20,0)+IF(COUNTIFS('Transaction Data'!A:A,A287,'Transaction Data'!G:G,"Yes")&gt;2,30,0)</f>
        <v>0</v>
      </c>
      <c r="J287">
        <f>'Client Master Data'!I287+'Client Master Data'!J287+H287+I287</f>
        <v>50</v>
      </c>
    </row>
    <row r="288" spans="1:10">
      <c r="A288">
        <v>1518</v>
      </c>
      <c r="B288" t="s">
        <v>1023</v>
      </c>
      <c r="C288" t="s">
        <v>618</v>
      </c>
      <c r="D288">
        <v>378497</v>
      </c>
      <c r="E288" t="s">
        <v>588</v>
      </c>
      <c r="F288" t="s">
        <v>27</v>
      </c>
      <c r="G288" t="str">
        <f t="shared" si="8"/>
        <v>Yes</v>
      </c>
      <c r="H288">
        <f t="shared" si="9"/>
        <v>70</v>
      </c>
      <c r="I288" s="1">
        <f>IF(COUNTIF('Transaction Data'!A:A,A288)&gt;5,20,0)+IF(COUNTIFS('Transaction Data'!A:A,A288,'Transaction Data'!G:G,"Yes")&gt;2,30,0)</f>
        <v>0</v>
      </c>
      <c r="J288">
        <f>'Client Master Data'!I288+'Client Master Data'!J288+H288+I288</f>
        <v>120</v>
      </c>
    </row>
    <row r="289" spans="1:10">
      <c r="A289">
        <v>1386</v>
      </c>
      <c r="B289" t="s">
        <v>1024</v>
      </c>
      <c r="C289" t="s">
        <v>1025</v>
      </c>
      <c r="D289">
        <v>99758</v>
      </c>
      <c r="E289" t="s">
        <v>588</v>
      </c>
      <c r="F289" t="s">
        <v>54</v>
      </c>
      <c r="G289" t="str">
        <f t="shared" si="8"/>
        <v>Yes</v>
      </c>
      <c r="H289">
        <f t="shared" si="9"/>
        <v>40</v>
      </c>
      <c r="I289" s="1">
        <f>IF(COUNTIF('Transaction Data'!A:A,A289)&gt;5,20,0)+IF(COUNTIFS('Transaction Data'!A:A,A289,'Transaction Data'!G:G,"Yes")&gt;2,30,0)</f>
        <v>30</v>
      </c>
      <c r="J289">
        <f>'Client Master Data'!I289+'Client Master Data'!J289+H289+I289</f>
        <v>140</v>
      </c>
    </row>
    <row r="290" spans="1:10">
      <c r="A290">
        <v>1545</v>
      </c>
      <c r="B290" t="s">
        <v>1026</v>
      </c>
      <c r="C290" t="s">
        <v>769</v>
      </c>
      <c r="D290">
        <v>120911</v>
      </c>
      <c r="E290" t="s">
        <v>593</v>
      </c>
      <c r="F290" t="s">
        <v>11</v>
      </c>
      <c r="G290" t="str">
        <f t="shared" si="8"/>
        <v>Yes</v>
      </c>
      <c r="H290">
        <f t="shared" si="9"/>
        <v>70</v>
      </c>
      <c r="I290" s="1">
        <f>IF(COUNTIF('Transaction Data'!A:A,A290)&gt;5,20,0)+IF(COUNTIFS('Transaction Data'!A:A,A290,'Transaction Data'!G:G,"Yes")&gt;2,30,0)</f>
        <v>30</v>
      </c>
      <c r="J290">
        <f>'Client Master Data'!I290+'Client Master Data'!J290+H290+I290</f>
        <v>140</v>
      </c>
    </row>
    <row r="291" spans="1:10">
      <c r="A291">
        <v>1169</v>
      </c>
      <c r="B291" t="s">
        <v>1027</v>
      </c>
      <c r="C291" t="s">
        <v>1028</v>
      </c>
      <c r="D291">
        <v>306282</v>
      </c>
      <c r="E291" t="s">
        <v>593</v>
      </c>
      <c r="F291" t="s">
        <v>27</v>
      </c>
      <c r="G291" t="str">
        <f t="shared" si="8"/>
        <v>Yes</v>
      </c>
      <c r="H291">
        <f t="shared" si="9"/>
        <v>70</v>
      </c>
      <c r="I291" s="1">
        <f>IF(COUNTIF('Transaction Data'!A:A,A291)&gt;5,20,0)+IF(COUNTIFS('Transaction Data'!A:A,A291,'Transaction Data'!G:G,"Yes")&gt;2,30,0)</f>
        <v>0</v>
      </c>
      <c r="J291">
        <f>'Client Master Data'!I291+'Client Master Data'!J291+H291+I291</f>
        <v>120</v>
      </c>
    </row>
    <row r="292" spans="1:10">
      <c r="A292">
        <v>1090</v>
      </c>
      <c r="B292" t="s">
        <v>1029</v>
      </c>
      <c r="C292" t="s">
        <v>642</v>
      </c>
      <c r="D292">
        <v>11510</v>
      </c>
      <c r="E292" t="s">
        <v>593</v>
      </c>
      <c r="F292" t="s">
        <v>39</v>
      </c>
      <c r="G292" t="str">
        <f t="shared" si="8"/>
        <v>No</v>
      </c>
      <c r="H292">
        <f t="shared" si="9"/>
        <v>0</v>
      </c>
      <c r="I292" s="1">
        <f>IF(COUNTIF('Transaction Data'!A:A,A292)&gt;5,20,0)+IF(COUNTIFS('Transaction Data'!A:A,A292,'Transaction Data'!G:G,"Yes")&gt;2,30,0)</f>
        <v>30</v>
      </c>
      <c r="J292">
        <f>'Client Master Data'!I292+'Client Master Data'!J292+H292+I292</f>
        <v>100</v>
      </c>
    </row>
    <row r="293" spans="1:10">
      <c r="A293">
        <v>1495</v>
      </c>
      <c r="B293" t="s">
        <v>1030</v>
      </c>
      <c r="C293" t="s">
        <v>1031</v>
      </c>
      <c r="D293">
        <v>190625</v>
      </c>
      <c r="E293" t="s">
        <v>600</v>
      </c>
      <c r="F293" t="s">
        <v>11</v>
      </c>
      <c r="G293" t="str">
        <f t="shared" si="8"/>
        <v>Yes</v>
      </c>
      <c r="H293">
        <f t="shared" si="9"/>
        <v>70</v>
      </c>
      <c r="I293" s="1">
        <f>IF(COUNTIF('Transaction Data'!A:A,A293)&gt;5,20,0)+IF(COUNTIFS('Transaction Data'!A:A,A293,'Transaction Data'!G:G,"Yes")&gt;2,30,0)</f>
        <v>30</v>
      </c>
      <c r="J293">
        <f>'Client Master Data'!I293+'Client Master Data'!J293+H293+I293</f>
        <v>150</v>
      </c>
    </row>
    <row r="294" spans="1:10">
      <c r="A294">
        <v>1390</v>
      </c>
      <c r="B294" t="s">
        <v>1032</v>
      </c>
      <c r="C294" t="s">
        <v>1033</v>
      </c>
      <c r="D294">
        <v>234307</v>
      </c>
      <c r="E294" t="s">
        <v>593</v>
      </c>
      <c r="F294" t="s">
        <v>27</v>
      </c>
      <c r="G294" t="str">
        <f t="shared" si="8"/>
        <v>Yes</v>
      </c>
      <c r="H294">
        <f t="shared" si="9"/>
        <v>70</v>
      </c>
      <c r="I294" s="1">
        <f>IF(COUNTIF('Transaction Data'!A:A,A294)&gt;5,20,0)+IF(COUNTIFS('Transaction Data'!A:A,A294,'Transaction Data'!G:G,"Yes")&gt;2,30,0)</f>
        <v>30</v>
      </c>
      <c r="J294">
        <f>'Client Master Data'!I294+'Client Master Data'!J294+H294+I294</f>
        <v>130</v>
      </c>
    </row>
    <row r="295" spans="1:10">
      <c r="A295">
        <v>1393</v>
      </c>
      <c r="B295" t="s">
        <v>1034</v>
      </c>
      <c r="C295" t="s">
        <v>629</v>
      </c>
      <c r="D295">
        <v>245156</v>
      </c>
      <c r="E295" t="s">
        <v>593</v>
      </c>
      <c r="F295" t="s">
        <v>17</v>
      </c>
      <c r="G295" t="str">
        <f t="shared" si="8"/>
        <v>Yes</v>
      </c>
      <c r="H295">
        <f t="shared" si="9"/>
        <v>70</v>
      </c>
      <c r="I295" s="1">
        <f>IF(COUNTIF('Transaction Data'!A:A,A295)&gt;5,20,0)+IF(COUNTIFS('Transaction Data'!A:A,A295,'Transaction Data'!G:G,"Yes")&gt;2,30,0)</f>
        <v>0</v>
      </c>
      <c r="J295">
        <f>'Client Master Data'!I295+'Client Master Data'!J295+H295+I295</f>
        <v>120</v>
      </c>
    </row>
    <row r="296" spans="1:10">
      <c r="A296">
        <v>1493</v>
      </c>
      <c r="B296" t="s">
        <v>1035</v>
      </c>
      <c r="C296" t="s">
        <v>1036</v>
      </c>
      <c r="D296">
        <v>195632</v>
      </c>
      <c r="E296" t="s">
        <v>593</v>
      </c>
      <c r="F296" t="s">
        <v>11</v>
      </c>
      <c r="G296" t="str">
        <f t="shared" si="8"/>
        <v>Yes</v>
      </c>
      <c r="H296">
        <f t="shared" si="9"/>
        <v>70</v>
      </c>
      <c r="I296" s="1">
        <f>IF(COUNTIF('Transaction Data'!A:A,A296)&gt;5,20,0)+IF(COUNTIFS('Transaction Data'!A:A,A296,'Transaction Data'!G:G,"Yes")&gt;2,30,0)</f>
        <v>30</v>
      </c>
      <c r="J296">
        <f>'Client Master Data'!I296+'Client Master Data'!J296+H296+I296</f>
        <v>150</v>
      </c>
    </row>
    <row r="297" spans="1:10">
      <c r="A297">
        <v>1341</v>
      </c>
      <c r="B297" t="s">
        <v>1037</v>
      </c>
      <c r="C297" t="s">
        <v>687</v>
      </c>
      <c r="D297">
        <v>179523</v>
      </c>
      <c r="E297" t="s">
        <v>588</v>
      </c>
      <c r="F297" t="s">
        <v>27</v>
      </c>
      <c r="G297" t="str">
        <f t="shared" si="8"/>
        <v>Yes</v>
      </c>
      <c r="H297">
        <f t="shared" si="9"/>
        <v>70</v>
      </c>
      <c r="I297" s="1">
        <f>IF(COUNTIF('Transaction Data'!A:A,A297)&gt;5,20,0)+IF(COUNTIFS('Transaction Data'!A:A,A297,'Transaction Data'!G:G,"Yes")&gt;2,30,0)</f>
        <v>30</v>
      </c>
      <c r="J297">
        <f>'Client Master Data'!I297+'Client Master Data'!J297+H297+I297</f>
        <v>130</v>
      </c>
    </row>
    <row r="298" spans="1:10">
      <c r="A298">
        <v>1111</v>
      </c>
      <c r="B298" t="s">
        <v>1038</v>
      </c>
      <c r="C298" t="s">
        <v>853</v>
      </c>
      <c r="D298">
        <v>165853</v>
      </c>
      <c r="E298" t="s">
        <v>600</v>
      </c>
      <c r="F298" t="s">
        <v>23</v>
      </c>
      <c r="G298" t="str">
        <f t="shared" si="8"/>
        <v>Yes</v>
      </c>
      <c r="H298">
        <f t="shared" si="9"/>
        <v>70</v>
      </c>
      <c r="I298" s="1">
        <f>IF(COUNTIF('Transaction Data'!A:A,A298)&gt;5,20,0)+IF(COUNTIFS('Transaction Data'!A:A,A298,'Transaction Data'!G:G,"Yes")&gt;2,30,0)</f>
        <v>0</v>
      </c>
      <c r="J298">
        <f>'Client Master Data'!I298+'Client Master Data'!J298+H298+I298</f>
        <v>130</v>
      </c>
    </row>
    <row r="299" spans="1:10">
      <c r="A299">
        <v>1090</v>
      </c>
      <c r="B299" t="s">
        <v>1039</v>
      </c>
      <c r="C299" t="s">
        <v>1025</v>
      </c>
      <c r="D299">
        <v>363853</v>
      </c>
      <c r="E299" t="s">
        <v>600</v>
      </c>
      <c r="F299" t="s">
        <v>11</v>
      </c>
      <c r="G299" t="str">
        <f t="shared" si="8"/>
        <v>Yes</v>
      </c>
      <c r="H299">
        <f t="shared" si="9"/>
        <v>70</v>
      </c>
      <c r="I299" s="1">
        <f>IF(COUNTIF('Transaction Data'!A:A,A299)&gt;5,20,0)+IF(COUNTIFS('Transaction Data'!A:A,A299,'Transaction Data'!G:G,"Yes")&gt;2,30,0)</f>
        <v>30</v>
      </c>
      <c r="J299">
        <f>'Client Master Data'!I299+'Client Master Data'!J299+H299+I299</f>
        <v>150</v>
      </c>
    </row>
    <row r="300" spans="1:10">
      <c r="A300">
        <v>1201</v>
      </c>
      <c r="B300" t="s">
        <v>1040</v>
      </c>
      <c r="C300" t="s">
        <v>912</v>
      </c>
      <c r="D300">
        <v>261607</v>
      </c>
      <c r="E300" t="s">
        <v>588</v>
      </c>
      <c r="F300" t="s">
        <v>23</v>
      </c>
      <c r="G300" t="str">
        <f t="shared" si="8"/>
        <v>Yes</v>
      </c>
      <c r="H300">
        <f t="shared" si="9"/>
        <v>70</v>
      </c>
      <c r="I300" s="1">
        <f>IF(COUNTIF('Transaction Data'!A:A,A300)&gt;5,20,0)+IF(COUNTIFS('Transaction Data'!A:A,A300,'Transaction Data'!G:G,"Yes")&gt;2,30,0)</f>
        <v>0</v>
      </c>
      <c r="J300">
        <f>'Client Master Data'!I300+'Client Master Data'!J300+H300+I300</f>
        <v>140</v>
      </c>
    </row>
    <row r="301" spans="1:10">
      <c r="A301">
        <v>1543</v>
      </c>
      <c r="B301" t="s">
        <v>1041</v>
      </c>
      <c r="C301" t="s">
        <v>669</v>
      </c>
      <c r="D301">
        <v>4081</v>
      </c>
      <c r="E301" t="s">
        <v>593</v>
      </c>
      <c r="F301" t="s">
        <v>27</v>
      </c>
      <c r="G301" t="str">
        <f t="shared" si="8"/>
        <v>No</v>
      </c>
      <c r="H301">
        <f t="shared" si="9"/>
        <v>0</v>
      </c>
      <c r="I301" s="1">
        <f>IF(COUNTIF('Transaction Data'!A:A,A301)&gt;5,20,0)+IF(COUNTIFS('Transaction Data'!A:A,A301,'Transaction Data'!G:G,"Yes")&gt;2,30,0)</f>
        <v>30</v>
      </c>
      <c r="J301">
        <f>'Client Master Data'!I301+'Client Master Data'!J301+H301+I301</f>
        <v>100</v>
      </c>
    </row>
    <row r="302" spans="1:10">
      <c r="A302">
        <v>1132</v>
      </c>
      <c r="B302" t="s">
        <v>1042</v>
      </c>
      <c r="C302" t="s">
        <v>599</v>
      </c>
      <c r="D302">
        <v>18203</v>
      </c>
      <c r="E302" t="s">
        <v>600</v>
      </c>
      <c r="F302" t="s">
        <v>27</v>
      </c>
      <c r="G302" t="str">
        <f t="shared" si="8"/>
        <v>No</v>
      </c>
      <c r="H302">
        <f t="shared" si="9"/>
        <v>0</v>
      </c>
      <c r="I302" s="1">
        <f>IF(COUNTIF('Transaction Data'!A:A,A302)&gt;5,20,0)+IF(COUNTIFS('Transaction Data'!A:A,A302,'Transaction Data'!G:G,"Yes")&gt;2,30,0)</f>
        <v>0</v>
      </c>
      <c r="J302">
        <f>'Client Master Data'!I302+'Client Master Data'!J302+H302+I302</f>
        <v>50</v>
      </c>
    </row>
    <row r="303" spans="1:10">
      <c r="A303">
        <v>1112</v>
      </c>
      <c r="B303" t="s">
        <v>1043</v>
      </c>
      <c r="C303" t="s">
        <v>775</v>
      </c>
      <c r="D303">
        <v>402273</v>
      </c>
      <c r="E303" t="s">
        <v>593</v>
      </c>
      <c r="F303" t="s">
        <v>54</v>
      </c>
      <c r="G303" t="str">
        <f t="shared" si="8"/>
        <v>Yes</v>
      </c>
      <c r="H303">
        <f t="shared" si="9"/>
        <v>70</v>
      </c>
      <c r="I303" s="1">
        <f>IF(COUNTIF('Transaction Data'!A:A,A303)&gt;5,20,0)+IF(COUNTIFS('Transaction Data'!A:A,A303,'Transaction Data'!G:G,"Yes")&gt;2,30,0)</f>
        <v>0</v>
      </c>
      <c r="J303">
        <f>'Client Master Data'!I303+'Client Master Data'!J303+H303+I303</f>
        <v>120</v>
      </c>
    </row>
    <row r="304" spans="1:10">
      <c r="A304">
        <v>1460</v>
      </c>
      <c r="B304" t="s">
        <v>1044</v>
      </c>
      <c r="C304" t="s">
        <v>631</v>
      </c>
      <c r="D304">
        <v>476140</v>
      </c>
      <c r="E304" t="s">
        <v>600</v>
      </c>
      <c r="F304" t="s">
        <v>17</v>
      </c>
      <c r="G304" t="str">
        <f t="shared" si="8"/>
        <v>Yes</v>
      </c>
      <c r="H304">
        <f t="shared" si="9"/>
        <v>70</v>
      </c>
      <c r="I304" s="1">
        <f>IF(COUNTIF('Transaction Data'!A:A,A304)&gt;5,20,0)+IF(COUNTIFS('Transaction Data'!A:A,A304,'Transaction Data'!G:G,"Yes")&gt;2,30,0)</f>
        <v>50</v>
      </c>
      <c r="J304">
        <f>'Client Master Data'!I304+'Client Master Data'!J304+H304+I304</f>
        <v>170</v>
      </c>
    </row>
    <row r="305" spans="1:10">
      <c r="A305">
        <v>1088</v>
      </c>
      <c r="B305" t="s">
        <v>1045</v>
      </c>
      <c r="C305" t="s">
        <v>1046</v>
      </c>
      <c r="D305">
        <v>18604</v>
      </c>
      <c r="E305" t="s">
        <v>593</v>
      </c>
      <c r="F305" t="s">
        <v>23</v>
      </c>
      <c r="G305" t="str">
        <f t="shared" si="8"/>
        <v>No</v>
      </c>
      <c r="H305">
        <f t="shared" si="9"/>
        <v>0</v>
      </c>
      <c r="I305" s="1">
        <f>IF(COUNTIF('Transaction Data'!A:A,A305)&gt;5,20,0)+IF(COUNTIFS('Transaction Data'!A:A,A305,'Transaction Data'!G:G,"Yes")&gt;2,30,0)</f>
        <v>0</v>
      </c>
      <c r="J305">
        <f>'Client Master Data'!I305+'Client Master Data'!J305+H305+I305</f>
        <v>70</v>
      </c>
    </row>
    <row r="306" spans="1:10">
      <c r="A306">
        <v>1421</v>
      </c>
      <c r="B306" t="s">
        <v>1047</v>
      </c>
      <c r="C306" t="s">
        <v>717</v>
      </c>
      <c r="D306">
        <v>165181</v>
      </c>
      <c r="E306" t="s">
        <v>593</v>
      </c>
      <c r="F306" t="s">
        <v>39</v>
      </c>
      <c r="G306" t="str">
        <f t="shared" si="8"/>
        <v>Yes</v>
      </c>
      <c r="H306">
        <f t="shared" si="9"/>
        <v>70</v>
      </c>
      <c r="I306" s="1">
        <f>IF(COUNTIF('Transaction Data'!A:A,A306)&gt;5,20,0)+IF(COUNTIFS('Transaction Data'!A:A,A306,'Transaction Data'!G:G,"Yes")&gt;2,30,0)</f>
        <v>30</v>
      </c>
      <c r="J306">
        <f>'Client Master Data'!I306+'Client Master Data'!J306+H306+I306</f>
        <v>120</v>
      </c>
    </row>
    <row r="307" spans="1:10">
      <c r="A307">
        <v>1107</v>
      </c>
      <c r="B307" t="s">
        <v>1048</v>
      </c>
      <c r="C307" t="s">
        <v>633</v>
      </c>
      <c r="D307">
        <v>332719</v>
      </c>
      <c r="E307" t="s">
        <v>588</v>
      </c>
      <c r="F307" t="s">
        <v>17</v>
      </c>
      <c r="G307" t="str">
        <f t="shared" si="8"/>
        <v>Yes</v>
      </c>
      <c r="H307">
        <f t="shared" si="9"/>
        <v>70</v>
      </c>
      <c r="I307" s="1">
        <f>IF(COUNTIF('Transaction Data'!A:A,A307)&gt;5,20,0)+IF(COUNTIFS('Transaction Data'!A:A,A307,'Transaction Data'!G:G,"Yes")&gt;2,30,0)</f>
        <v>30</v>
      </c>
      <c r="J307">
        <f>'Client Master Data'!I307+'Client Master Data'!J307+H307+I307</f>
        <v>120</v>
      </c>
    </row>
    <row r="308" spans="1:10">
      <c r="A308">
        <v>1249</v>
      </c>
      <c r="B308" t="s">
        <v>1049</v>
      </c>
      <c r="C308" t="s">
        <v>754</v>
      </c>
      <c r="D308">
        <v>157152</v>
      </c>
      <c r="E308" t="s">
        <v>600</v>
      </c>
      <c r="F308" t="s">
        <v>54</v>
      </c>
      <c r="G308" t="str">
        <f t="shared" si="8"/>
        <v>Yes</v>
      </c>
      <c r="H308">
        <f t="shared" si="9"/>
        <v>70</v>
      </c>
      <c r="I308" s="1">
        <f>IF(COUNTIF('Transaction Data'!A:A,A308)&gt;5,20,0)+IF(COUNTIFS('Transaction Data'!A:A,A308,'Transaction Data'!G:G,"Yes")&gt;2,30,0)</f>
        <v>0</v>
      </c>
      <c r="J308">
        <f>'Client Master Data'!I308+'Client Master Data'!J308+H308+I308</f>
        <v>130</v>
      </c>
    </row>
    <row r="309" spans="1:10">
      <c r="A309">
        <v>1222</v>
      </c>
      <c r="B309" t="s">
        <v>1050</v>
      </c>
      <c r="C309" t="s">
        <v>967</v>
      </c>
      <c r="D309">
        <v>8244</v>
      </c>
      <c r="E309" t="s">
        <v>600</v>
      </c>
      <c r="F309" t="s">
        <v>11</v>
      </c>
      <c r="G309" t="str">
        <f t="shared" si="8"/>
        <v>No</v>
      </c>
      <c r="H309">
        <f t="shared" si="9"/>
        <v>0</v>
      </c>
      <c r="I309" s="1">
        <f>IF(COUNTIF('Transaction Data'!A:A,A309)&gt;5,20,0)+IF(COUNTIFS('Transaction Data'!A:A,A309,'Transaction Data'!G:G,"Yes")&gt;2,30,0)</f>
        <v>0</v>
      </c>
      <c r="J309">
        <f>'Client Master Data'!I309+'Client Master Data'!J309+H309+I309</f>
        <v>30</v>
      </c>
    </row>
    <row r="310" spans="1:10">
      <c r="A310">
        <v>1303</v>
      </c>
      <c r="B310" t="s">
        <v>1051</v>
      </c>
      <c r="C310" t="s">
        <v>820</v>
      </c>
      <c r="D310">
        <v>48510</v>
      </c>
      <c r="E310" t="s">
        <v>593</v>
      </c>
      <c r="F310" t="s">
        <v>17</v>
      </c>
      <c r="G310" t="str">
        <f t="shared" si="8"/>
        <v>Yes</v>
      </c>
      <c r="H310">
        <f t="shared" si="9"/>
        <v>40</v>
      </c>
      <c r="I310" s="1">
        <f>IF(COUNTIF('Transaction Data'!A:A,A310)&gt;5,20,0)+IF(COUNTIFS('Transaction Data'!A:A,A310,'Transaction Data'!G:G,"Yes")&gt;2,30,0)</f>
        <v>30</v>
      </c>
      <c r="J310">
        <f>'Client Master Data'!I310+'Client Master Data'!J310+H310+I310</f>
        <v>120</v>
      </c>
    </row>
    <row r="311" spans="1:10">
      <c r="A311">
        <v>1047</v>
      </c>
      <c r="B311" t="s">
        <v>1052</v>
      </c>
      <c r="C311" t="s">
        <v>1053</v>
      </c>
      <c r="D311">
        <v>475065</v>
      </c>
      <c r="E311" t="s">
        <v>600</v>
      </c>
      <c r="F311" t="s">
        <v>27</v>
      </c>
      <c r="G311" t="str">
        <f t="shared" si="8"/>
        <v>Yes</v>
      </c>
      <c r="H311">
        <f t="shared" si="9"/>
        <v>70</v>
      </c>
      <c r="I311" s="1">
        <f>IF(COUNTIF('Transaction Data'!A:A,A311)&gt;5,20,0)+IF(COUNTIFS('Transaction Data'!A:A,A311,'Transaction Data'!G:G,"Yes")&gt;2,30,0)</f>
        <v>0</v>
      </c>
      <c r="J311">
        <f>'Client Master Data'!I311+'Client Master Data'!J311+H311+I311</f>
        <v>100</v>
      </c>
    </row>
    <row r="312" spans="1:10">
      <c r="A312">
        <v>1265</v>
      </c>
      <c r="B312" t="s">
        <v>1054</v>
      </c>
      <c r="C312" t="s">
        <v>587</v>
      </c>
      <c r="D312">
        <v>100494</v>
      </c>
      <c r="E312" t="s">
        <v>600</v>
      </c>
      <c r="F312" t="s">
        <v>39</v>
      </c>
      <c r="G312" t="str">
        <f t="shared" si="8"/>
        <v>Yes</v>
      </c>
      <c r="H312">
        <f t="shared" si="9"/>
        <v>70</v>
      </c>
      <c r="I312" s="1">
        <f>IF(COUNTIF('Transaction Data'!A:A,A312)&gt;5,20,0)+IF(COUNTIFS('Transaction Data'!A:A,A312,'Transaction Data'!G:G,"Yes")&gt;2,30,0)</f>
        <v>30</v>
      </c>
      <c r="J312">
        <f>'Client Master Data'!I312+'Client Master Data'!J312+H312+I312</f>
        <v>130</v>
      </c>
    </row>
    <row r="313" spans="1:10">
      <c r="A313">
        <v>1373</v>
      </c>
      <c r="B313" t="s">
        <v>1055</v>
      </c>
      <c r="C313" t="s">
        <v>1056</v>
      </c>
      <c r="D313">
        <v>316025</v>
      </c>
      <c r="E313" t="s">
        <v>588</v>
      </c>
      <c r="F313" t="s">
        <v>11</v>
      </c>
      <c r="G313" t="str">
        <f t="shared" si="8"/>
        <v>Yes</v>
      </c>
      <c r="H313">
        <f t="shared" si="9"/>
        <v>70</v>
      </c>
      <c r="I313" s="1">
        <f>IF(COUNTIF('Transaction Data'!A:A,A313)&gt;5,20,0)+IF(COUNTIFS('Transaction Data'!A:A,A313,'Transaction Data'!G:G,"Yes")&gt;2,30,0)</f>
        <v>30</v>
      </c>
      <c r="J313">
        <f>'Client Master Data'!I313+'Client Master Data'!J313+H313+I313</f>
        <v>150</v>
      </c>
    </row>
    <row r="314" spans="1:10">
      <c r="A314">
        <v>1164</v>
      </c>
      <c r="B314" t="s">
        <v>1057</v>
      </c>
      <c r="C314" t="s">
        <v>937</v>
      </c>
      <c r="D314">
        <v>409630</v>
      </c>
      <c r="E314" t="s">
        <v>588</v>
      </c>
      <c r="F314" t="s">
        <v>11</v>
      </c>
      <c r="G314" t="str">
        <f t="shared" si="8"/>
        <v>Yes</v>
      </c>
      <c r="H314">
        <f t="shared" si="9"/>
        <v>70</v>
      </c>
      <c r="I314" s="1">
        <f>IF(COUNTIF('Transaction Data'!A:A,A314)&gt;5,20,0)+IF(COUNTIFS('Transaction Data'!A:A,A314,'Transaction Data'!G:G,"Yes")&gt;2,30,0)</f>
        <v>0</v>
      </c>
      <c r="J314">
        <f>'Client Master Data'!I314+'Client Master Data'!J314+H314+I314</f>
        <v>110</v>
      </c>
    </row>
    <row r="315" spans="1:10">
      <c r="A315">
        <v>1004</v>
      </c>
      <c r="B315" t="s">
        <v>1058</v>
      </c>
      <c r="C315" t="s">
        <v>663</v>
      </c>
      <c r="D315">
        <v>283338</v>
      </c>
      <c r="E315" t="s">
        <v>600</v>
      </c>
      <c r="F315" t="s">
        <v>39</v>
      </c>
      <c r="G315" t="str">
        <f t="shared" si="8"/>
        <v>Yes</v>
      </c>
      <c r="H315">
        <f t="shared" si="9"/>
        <v>70</v>
      </c>
      <c r="I315" s="1">
        <f>IF(COUNTIF('Transaction Data'!A:A,A315)&gt;5,20,0)+IF(COUNTIFS('Transaction Data'!A:A,A315,'Transaction Data'!G:G,"Yes")&gt;2,30,0)</f>
        <v>30</v>
      </c>
      <c r="J315">
        <f>'Client Master Data'!I315+'Client Master Data'!J315+H315+I315</f>
        <v>150</v>
      </c>
    </row>
    <row r="316" spans="1:10">
      <c r="A316">
        <v>1216</v>
      </c>
      <c r="B316" t="s">
        <v>1059</v>
      </c>
      <c r="C316" t="s">
        <v>694</v>
      </c>
      <c r="D316">
        <v>6588</v>
      </c>
      <c r="E316" t="s">
        <v>600</v>
      </c>
      <c r="F316" t="s">
        <v>17</v>
      </c>
      <c r="G316" t="str">
        <f t="shared" si="8"/>
        <v>Yes</v>
      </c>
      <c r="H316">
        <f t="shared" si="9"/>
        <v>40</v>
      </c>
      <c r="I316" s="1">
        <f>IF(COUNTIF('Transaction Data'!A:A,A316)&gt;5,20,0)+IF(COUNTIFS('Transaction Data'!A:A,A316,'Transaction Data'!G:G,"Yes")&gt;2,30,0)</f>
        <v>0</v>
      </c>
      <c r="J316">
        <f>'Client Master Data'!I316+'Client Master Data'!J316+H316+I316</f>
        <v>90</v>
      </c>
    </row>
    <row r="317" spans="1:10">
      <c r="A317">
        <v>1390</v>
      </c>
      <c r="B317" t="s">
        <v>1060</v>
      </c>
      <c r="C317" t="s">
        <v>1046</v>
      </c>
      <c r="D317">
        <v>461883</v>
      </c>
      <c r="E317" t="s">
        <v>600</v>
      </c>
      <c r="F317" t="s">
        <v>27</v>
      </c>
      <c r="G317" t="str">
        <f t="shared" si="8"/>
        <v>Yes</v>
      </c>
      <c r="H317">
        <f t="shared" si="9"/>
        <v>70</v>
      </c>
      <c r="I317" s="1">
        <f>IF(COUNTIF('Transaction Data'!A:A,A317)&gt;5,20,0)+IF(COUNTIFS('Transaction Data'!A:A,A317,'Transaction Data'!G:G,"Yes")&gt;2,30,0)</f>
        <v>30</v>
      </c>
      <c r="J317">
        <f>'Client Master Data'!I317+'Client Master Data'!J317+H317+I317</f>
        <v>150</v>
      </c>
    </row>
    <row r="318" spans="1:10">
      <c r="A318">
        <v>1319</v>
      </c>
      <c r="B318" t="s">
        <v>1061</v>
      </c>
      <c r="C318" t="s">
        <v>618</v>
      </c>
      <c r="D318">
        <v>231635</v>
      </c>
      <c r="E318" t="s">
        <v>600</v>
      </c>
      <c r="F318" t="s">
        <v>27</v>
      </c>
      <c r="G318" t="str">
        <f t="shared" si="8"/>
        <v>Yes</v>
      </c>
      <c r="H318">
        <f t="shared" si="9"/>
        <v>70</v>
      </c>
      <c r="I318" s="1">
        <f>IF(COUNTIF('Transaction Data'!A:A,A318)&gt;5,20,0)+IF(COUNTIFS('Transaction Data'!A:A,A318,'Transaction Data'!G:G,"Yes")&gt;2,30,0)</f>
        <v>0</v>
      </c>
      <c r="J318">
        <f>'Client Master Data'!I318+'Client Master Data'!J318+H318+I318</f>
        <v>100</v>
      </c>
    </row>
    <row r="319" spans="1:10">
      <c r="A319">
        <v>1522</v>
      </c>
      <c r="B319" t="s">
        <v>1062</v>
      </c>
      <c r="C319" t="s">
        <v>690</v>
      </c>
      <c r="D319">
        <v>142394</v>
      </c>
      <c r="E319" t="s">
        <v>588</v>
      </c>
      <c r="F319" t="s">
        <v>17</v>
      </c>
      <c r="G319" t="str">
        <f t="shared" si="8"/>
        <v>Yes</v>
      </c>
      <c r="H319">
        <f t="shared" si="9"/>
        <v>70</v>
      </c>
      <c r="I319" s="1">
        <f>IF(COUNTIF('Transaction Data'!A:A,A319)&gt;5,20,0)+IF(COUNTIFS('Transaction Data'!A:A,A319,'Transaction Data'!G:G,"Yes")&gt;2,30,0)</f>
        <v>0</v>
      </c>
      <c r="J319">
        <f>'Client Master Data'!I319+'Client Master Data'!J319+H319+I319</f>
        <v>140</v>
      </c>
    </row>
    <row r="320" spans="1:10">
      <c r="A320">
        <v>1015</v>
      </c>
      <c r="B320" t="s">
        <v>1063</v>
      </c>
      <c r="C320" t="s">
        <v>767</v>
      </c>
      <c r="D320">
        <v>31639</v>
      </c>
      <c r="E320" t="s">
        <v>588</v>
      </c>
      <c r="F320" t="s">
        <v>27</v>
      </c>
      <c r="G320" t="str">
        <f t="shared" si="8"/>
        <v>No</v>
      </c>
      <c r="H320">
        <f t="shared" si="9"/>
        <v>0</v>
      </c>
      <c r="I320" s="1">
        <f>IF(COUNTIF('Transaction Data'!A:A,A320)&gt;5,20,0)+IF(COUNTIFS('Transaction Data'!A:A,A320,'Transaction Data'!G:G,"Yes")&gt;2,30,0)</f>
        <v>0</v>
      </c>
      <c r="J320">
        <f>'Client Master Data'!I320+'Client Master Data'!J320+H320+I320</f>
        <v>60</v>
      </c>
    </row>
    <row r="321" spans="1:10">
      <c r="A321">
        <v>1061</v>
      </c>
      <c r="B321" t="s">
        <v>1064</v>
      </c>
      <c r="C321" t="s">
        <v>807</v>
      </c>
      <c r="D321">
        <v>178423</v>
      </c>
      <c r="E321" t="s">
        <v>588</v>
      </c>
      <c r="F321" t="s">
        <v>54</v>
      </c>
      <c r="G321" t="str">
        <f t="shared" si="8"/>
        <v>Yes</v>
      </c>
      <c r="H321">
        <f t="shared" si="9"/>
        <v>70</v>
      </c>
      <c r="I321" s="1">
        <f>IF(COUNTIF('Transaction Data'!A:A,A321)&gt;5,20,0)+IF(COUNTIFS('Transaction Data'!A:A,A321,'Transaction Data'!G:G,"Yes")&gt;2,30,0)</f>
        <v>30</v>
      </c>
      <c r="J321">
        <f>'Client Master Data'!I321+'Client Master Data'!J321+H321+I321</f>
        <v>170</v>
      </c>
    </row>
    <row r="322" spans="1:10">
      <c r="A322">
        <v>1477</v>
      </c>
      <c r="B322" t="s">
        <v>1065</v>
      </c>
      <c r="C322" t="s">
        <v>1066</v>
      </c>
      <c r="D322">
        <v>92969</v>
      </c>
      <c r="E322" t="s">
        <v>600</v>
      </c>
      <c r="F322" t="s">
        <v>23</v>
      </c>
      <c r="G322" t="str">
        <f t="shared" ref="G322:G385" si="10">IF(OR(D322&gt;100000,F322="UAE",F322="Nigeria"),"Yes","No")</f>
        <v>No</v>
      </c>
      <c r="H322">
        <f t="shared" si="9"/>
        <v>0</v>
      </c>
      <c r="I322" s="1">
        <f>IF(COUNTIF('Transaction Data'!A:A,A322)&gt;5,20,0)+IF(COUNTIFS('Transaction Data'!A:A,A322,'Transaction Data'!G:G,"Yes")&gt;2,30,0)</f>
        <v>0</v>
      </c>
      <c r="J322">
        <f>'Client Master Data'!I322+'Client Master Data'!J322+H322+I322</f>
        <v>60</v>
      </c>
    </row>
    <row r="323" spans="1:10">
      <c r="A323">
        <v>1140</v>
      </c>
      <c r="B323" t="s">
        <v>1067</v>
      </c>
      <c r="C323" t="s">
        <v>620</v>
      </c>
      <c r="D323">
        <v>85305</v>
      </c>
      <c r="E323" t="s">
        <v>588</v>
      </c>
      <c r="F323" t="s">
        <v>39</v>
      </c>
      <c r="G323" t="str">
        <f t="shared" si="10"/>
        <v>No</v>
      </c>
      <c r="H323">
        <f t="shared" ref="H323:H386" si="11">IF(D323&gt;100000,30,0)+IF(TRIM(LOWER(G323))="yes",40,0)</f>
        <v>0</v>
      </c>
      <c r="I323" s="1">
        <f>IF(COUNTIF('Transaction Data'!A:A,A323)&gt;5,20,0)+IF(COUNTIFS('Transaction Data'!A:A,A323,'Transaction Data'!G:G,"Yes")&gt;2,30,0)</f>
        <v>0</v>
      </c>
      <c r="J323">
        <f>'Client Master Data'!I323+'Client Master Data'!J323+H323+I323</f>
        <v>40</v>
      </c>
    </row>
    <row r="324" spans="1:10">
      <c r="A324">
        <v>1357</v>
      </c>
      <c r="B324" t="s">
        <v>1068</v>
      </c>
      <c r="C324" t="s">
        <v>623</v>
      </c>
      <c r="D324">
        <v>117868</v>
      </c>
      <c r="E324" t="s">
        <v>593</v>
      </c>
      <c r="F324" t="s">
        <v>39</v>
      </c>
      <c r="G324" t="str">
        <f t="shared" si="10"/>
        <v>Yes</v>
      </c>
      <c r="H324">
        <f t="shared" si="11"/>
        <v>70</v>
      </c>
      <c r="I324" s="1">
        <f>IF(COUNTIF('Transaction Data'!A:A,A324)&gt;5,20,0)+IF(COUNTIFS('Transaction Data'!A:A,A324,'Transaction Data'!G:G,"Yes")&gt;2,30,0)</f>
        <v>30</v>
      </c>
      <c r="J324">
        <f>'Client Master Data'!I324+'Client Master Data'!J324+H324+I324</f>
        <v>150</v>
      </c>
    </row>
    <row r="325" spans="1:10">
      <c r="A325">
        <v>1200</v>
      </c>
      <c r="B325" t="s">
        <v>1069</v>
      </c>
      <c r="C325" t="s">
        <v>638</v>
      </c>
      <c r="D325">
        <v>177788</v>
      </c>
      <c r="E325" t="s">
        <v>600</v>
      </c>
      <c r="F325" t="s">
        <v>11</v>
      </c>
      <c r="G325" t="str">
        <f t="shared" si="10"/>
        <v>Yes</v>
      </c>
      <c r="H325">
        <f t="shared" si="11"/>
        <v>70</v>
      </c>
      <c r="I325" s="1">
        <f>IF(COUNTIF('Transaction Data'!A:A,A325)&gt;5,20,0)+IF(COUNTIFS('Transaction Data'!A:A,A325,'Transaction Data'!G:G,"Yes")&gt;2,30,0)</f>
        <v>0</v>
      </c>
      <c r="J325">
        <f>'Client Master Data'!I325+'Client Master Data'!J325+H325+I325</f>
        <v>130</v>
      </c>
    </row>
    <row r="326" spans="1:10">
      <c r="A326">
        <v>1174</v>
      </c>
      <c r="B326" t="s">
        <v>1070</v>
      </c>
      <c r="C326" t="s">
        <v>696</v>
      </c>
      <c r="D326">
        <v>347139</v>
      </c>
      <c r="E326" t="s">
        <v>593</v>
      </c>
      <c r="F326" t="s">
        <v>27</v>
      </c>
      <c r="G326" t="str">
        <f t="shared" si="10"/>
        <v>Yes</v>
      </c>
      <c r="H326">
        <f t="shared" si="11"/>
        <v>70</v>
      </c>
      <c r="I326" s="1">
        <f>IF(COUNTIF('Transaction Data'!A:A,A326)&gt;5,20,0)+IF(COUNTIFS('Transaction Data'!A:A,A326,'Transaction Data'!G:G,"Yes")&gt;2,30,0)</f>
        <v>0</v>
      </c>
      <c r="J326">
        <f>'Client Master Data'!I326+'Client Master Data'!J326+H326+I326</f>
        <v>140</v>
      </c>
    </row>
    <row r="327" spans="1:10">
      <c r="A327">
        <v>1492</v>
      </c>
      <c r="B327" t="s">
        <v>1071</v>
      </c>
      <c r="C327" t="s">
        <v>720</v>
      </c>
      <c r="D327">
        <v>110431</v>
      </c>
      <c r="E327" t="s">
        <v>600</v>
      </c>
      <c r="F327" t="s">
        <v>27</v>
      </c>
      <c r="G327" t="str">
        <f t="shared" si="10"/>
        <v>Yes</v>
      </c>
      <c r="H327">
        <f t="shared" si="11"/>
        <v>70</v>
      </c>
      <c r="I327" s="1">
        <f>IF(COUNTIF('Transaction Data'!A:A,A327)&gt;5,20,0)+IF(COUNTIFS('Transaction Data'!A:A,A327,'Transaction Data'!G:G,"Yes")&gt;2,30,0)</f>
        <v>0</v>
      </c>
      <c r="J327">
        <f>'Client Master Data'!I327+'Client Master Data'!J327+H327+I327</f>
        <v>140</v>
      </c>
    </row>
    <row r="328" spans="1:10">
      <c r="A328">
        <v>1193</v>
      </c>
      <c r="B328" t="s">
        <v>1072</v>
      </c>
      <c r="C328" t="s">
        <v>717</v>
      </c>
      <c r="D328">
        <v>3956</v>
      </c>
      <c r="E328" t="s">
        <v>600</v>
      </c>
      <c r="F328" t="s">
        <v>39</v>
      </c>
      <c r="G328" t="str">
        <f t="shared" si="10"/>
        <v>No</v>
      </c>
      <c r="H328">
        <f t="shared" si="11"/>
        <v>0</v>
      </c>
      <c r="I328" s="1">
        <f>IF(COUNTIF('Transaction Data'!A:A,A328)&gt;5,20,0)+IF(COUNTIFS('Transaction Data'!A:A,A328,'Transaction Data'!G:G,"Yes")&gt;2,30,0)</f>
        <v>0</v>
      </c>
      <c r="J328">
        <f>'Client Master Data'!I328+'Client Master Data'!J328+H328+I328</f>
        <v>50</v>
      </c>
    </row>
    <row r="329" spans="1:10">
      <c r="A329">
        <v>1336</v>
      </c>
      <c r="B329" t="s">
        <v>1073</v>
      </c>
      <c r="C329" t="s">
        <v>818</v>
      </c>
      <c r="D329">
        <v>200881</v>
      </c>
      <c r="E329" t="s">
        <v>600</v>
      </c>
      <c r="F329" t="s">
        <v>11</v>
      </c>
      <c r="G329" t="str">
        <f t="shared" si="10"/>
        <v>Yes</v>
      </c>
      <c r="H329">
        <f t="shared" si="11"/>
        <v>70</v>
      </c>
      <c r="I329" s="1">
        <f>IF(COUNTIF('Transaction Data'!A:A,A329)&gt;5,20,0)+IF(COUNTIFS('Transaction Data'!A:A,A329,'Transaction Data'!G:G,"Yes")&gt;2,30,0)</f>
        <v>30</v>
      </c>
      <c r="J329">
        <f>'Client Master Data'!I329+'Client Master Data'!J329+H329+I329</f>
        <v>140</v>
      </c>
    </row>
    <row r="330" spans="1:10">
      <c r="A330">
        <v>1393</v>
      </c>
      <c r="B330" t="s">
        <v>1074</v>
      </c>
      <c r="C330" t="s">
        <v>888</v>
      </c>
      <c r="D330">
        <v>41957</v>
      </c>
      <c r="E330" t="s">
        <v>593</v>
      </c>
      <c r="F330" t="s">
        <v>11</v>
      </c>
      <c r="G330" t="str">
        <f t="shared" si="10"/>
        <v>No</v>
      </c>
      <c r="H330">
        <f t="shared" si="11"/>
        <v>0</v>
      </c>
      <c r="I330" s="1">
        <f>IF(COUNTIF('Transaction Data'!A:A,A330)&gt;5,20,0)+IF(COUNTIFS('Transaction Data'!A:A,A330,'Transaction Data'!G:G,"Yes")&gt;2,30,0)</f>
        <v>0</v>
      </c>
      <c r="J330">
        <f>'Client Master Data'!I330+'Client Master Data'!J330+H330+I330</f>
        <v>30</v>
      </c>
    </row>
    <row r="331" spans="1:10">
      <c r="A331">
        <v>1044</v>
      </c>
      <c r="B331" t="s">
        <v>1075</v>
      </c>
      <c r="C331" t="s">
        <v>635</v>
      </c>
      <c r="D331">
        <v>342146</v>
      </c>
      <c r="E331" t="s">
        <v>593</v>
      </c>
      <c r="F331" t="s">
        <v>27</v>
      </c>
      <c r="G331" t="str">
        <f t="shared" si="10"/>
        <v>Yes</v>
      </c>
      <c r="H331">
        <f t="shared" si="11"/>
        <v>70</v>
      </c>
      <c r="I331" s="1">
        <f>IF(COUNTIF('Transaction Data'!A:A,A331)&gt;5,20,0)+IF(COUNTIFS('Transaction Data'!A:A,A331,'Transaction Data'!G:G,"Yes")&gt;2,30,0)</f>
        <v>0</v>
      </c>
      <c r="J331">
        <f>'Client Master Data'!I331+'Client Master Data'!J331+H331+I331</f>
        <v>120</v>
      </c>
    </row>
    <row r="332" spans="1:10">
      <c r="A332">
        <v>1534</v>
      </c>
      <c r="B332" t="s">
        <v>1076</v>
      </c>
      <c r="C332" t="s">
        <v>964</v>
      </c>
      <c r="D332">
        <v>238563</v>
      </c>
      <c r="E332" t="s">
        <v>588</v>
      </c>
      <c r="F332" t="s">
        <v>11</v>
      </c>
      <c r="G332" t="str">
        <f t="shared" si="10"/>
        <v>Yes</v>
      </c>
      <c r="H332">
        <f t="shared" si="11"/>
        <v>70</v>
      </c>
      <c r="I332" s="1">
        <f>IF(COUNTIF('Transaction Data'!A:A,A332)&gt;5,20,0)+IF(COUNTIFS('Transaction Data'!A:A,A332,'Transaction Data'!G:G,"Yes")&gt;2,30,0)</f>
        <v>0</v>
      </c>
      <c r="J332">
        <f>'Client Master Data'!I332+'Client Master Data'!J332+H332+I332</f>
        <v>100</v>
      </c>
    </row>
    <row r="333" spans="1:10">
      <c r="A333">
        <v>1144</v>
      </c>
      <c r="B333" t="s">
        <v>1077</v>
      </c>
      <c r="C333" t="s">
        <v>866</v>
      </c>
      <c r="D333">
        <v>70588</v>
      </c>
      <c r="E333" t="s">
        <v>593</v>
      </c>
      <c r="F333" t="s">
        <v>23</v>
      </c>
      <c r="G333" t="str">
        <f t="shared" si="10"/>
        <v>No</v>
      </c>
      <c r="H333">
        <f t="shared" si="11"/>
        <v>0</v>
      </c>
      <c r="I333" s="1">
        <f>IF(COUNTIF('Transaction Data'!A:A,A333)&gt;5,20,0)+IF(COUNTIFS('Transaction Data'!A:A,A333,'Transaction Data'!G:G,"Yes")&gt;2,30,0)</f>
        <v>0</v>
      </c>
      <c r="J333">
        <f>'Client Master Data'!I333+'Client Master Data'!J333+H333+I333</f>
        <v>50</v>
      </c>
    </row>
    <row r="334" spans="1:10">
      <c r="A334">
        <v>1191</v>
      </c>
      <c r="B334" t="s">
        <v>1078</v>
      </c>
      <c r="C334" t="s">
        <v>713</v>
      </c>
      <c r="D334">
        <v>199940</v>
      </c>
      <c r="E334" t="s">
        <v>588</v>
      </c>
      <c r="F334" t="s">
        <v>11</v>
      </c>
      <c r="G334" t="str">
        <f t="shared" si="10"/>
        <v>Yes</v>
      </c>
      <c r="H334">
        <f t="shared" si="11"/>
        <v>70</v>
      </c>
      <c r="I334" s="1">
        <f>IF(COUNTIF('Transaction Data'!A:A,A334)&gt;5,20,0)+IF(COUNTIFS('Transaction Data'!A:A,A334,'Transaction Data'!G:G,"Yes")&gt;2,30,0)</f>
        <v>30</v>
      </c>
      <c r="J334">
        <f>'Client Master Data'!I334+'Client Master Data'!J334+H334+I334</f>
        <v>130</v>
      </c>
    </row>
    <row r="335" spans="1:10">
      <c r="A335">
        <v>1505</v>
      </c>
      <c r="B335" t="s">
        <v>1079</v>
      </c>
      <c r="C335" t="s">
        <v>924</v>
      </c>
      <c r="D335">
        <v>158547</v>
      </c>
      <c r="E335" t="s">
        <v>588</v>
      </c>
      <c r="F335" t="s">
        <v>11</v>
      </c>
      <c r="G335" t="str">
        <f t="shared" si="10"/>
        <v>Yes</v>
      </c>
      <c r="H335">
        <f t="shared" si="11"/>
        <v>70</v>
      </c>
      <c r="I335" s="1">
        <f>IF(COUNTIF('Transaction Data'!A:A,A335)&gt;5,20,0)+IF(COUNTIFS('Transaction Data'!A:A,A335,'Transaction Data'!G:G,"Yes")&gt;2,30,0)</f>
        <v>0</v>
      </c>
      <c r="J335">
        <f>'Client Master Data'!I335+'Client Master Data'!J335+H335+I335</f>
        <v>130</v>
      </c>
    </row>
    <row r="336" spans="1:10">
      <c r="A336">
        <v>1377</v>
      </c>
      <c r="B336" t="s">
        <v>1080</v>
      </c>
      <c r="C336" t="s">
        <v>707</v>
      </c>
      <c r="D336">
        <v>223146</v>
      </c>
      <c r="E336" t="s">
        <v>588</v>
      </c>
      <c r="F336" t="s">
        <v>27</v>
      </c>
      <c r="G336" t="str">
        <f t="shared" si="10"/>
        <v>Yes</v>
      </c>
      <c r="H336">
        <f t="shared" si="11"/>
        <v>70</v>
      </c>
      <c r="I336" s="1">
        <f>IF(COUNTIF('Transaction Data'!A:A,A336)&gt;5,20,0)+IF(COUNTIFS('Transaction Data'!A:A,A336,'Transaction Data'!G:G,"Yes")&gt;2,30,0)</f>
        <v>0</v>
      </c>
      <c r="J336">
        <f>'Client Master Data'!I336+'Client Master Data'!J336+H336+I336</f>
        <v>90</v>
      </c>
    </row>
    <row r="337" spans="1:10">
      <c r="A337">
        <v>1337</v>
      </c>
      <c r="B337" t="s">
        <v>1081</v>
      </c>
      <c r="C337" t="s">
        <v>946</v>
      </c>
      <c r="D337">
        <v>90517</v>
      </c>
      <c r="E337" t="s">
        <v>593</v>
      </c>
      <c r="F337" t="s">
        <v>27</v>
      </c>
      <c r="G337" t="str">
        <f t="shared" si="10"/>
        <v>No</v>
      </c>
      <c r="H337">
        <f t="shared" si="11"/>
        <v>0</v>
      </c>
      <c r="I337" s="1">
        <f>IF(COUNTIF('Transaction Data'!A:A,A337)&gt;5,20,0)+IF(COUNTIFS('Transaction Data'!A:A,A337,'Transaction Data'!G:G,"Yes")&gt;2,30,0)</f>
        <v>30</v>
      </c>
      <c r="J337">
        <f>'Client Master Data'!I337+'Client Master Data'!J337+H337+I337</f>
        <v>80</v>
      </c>
    </row>
    <row r="338" spans="1:10">
      <c r="A338">
        <v>1203</v>
      </c>
      <c r="B338" t="s">
        <v>1082</v>
      </c>
      <c r="C338" t="s">
        <v>623</v>
      </c>
      <c r="D338">
        <v>35332</v>
      </c>
      <c r="E338" t="s">
        <v>600</v>
      </c>
      <c r="F338" t="s">
        <v>11</v>
      </c>
      <c r="G338" t="str">
        <f t="shared" si="10"/>
        <v>No</v>
      </c>
      <c r="H338">
        <f t="shared" si="11"/>
        <v>0</v>
      </c>
      <c r="I338" s="1">
        <f>IF(COUNTIF('Transaction Data'!A:A,A338)&gt;5,20,0)+IF(COUNTIFS('Transaction Data'!A:A,A338,'Transaction Data'!G:G,"Yes")&gt;2,30,0)</f>
        <v>30</v>
      </c>
      <c r="J338">
        <f>'Client Master Data'!I338+'Client Master Data'!J338+H338+I338</f>
        <v>80</v>
      </c>
    </row>
    <row r="339" spans="1:10">
      <c r="A339">
        <v>1293</v>
      </c>
      <c r="B339" t="s">
        <v>1083</v>
      </c>
      <c r="C339" t="s">
        <v>754</v>
      </c>
      <c r="D339">
        <v>1390</v>
      </c>
      <c r="E339" t="s">
        <v>593</v>
      </c>
      <c r="F339" t="s">
        <v>27</v>
      </c>
      <c r="G339" t="str">
        <f t="shared" si="10"/>
        <v>No</v>
      </c>
      <c r="H339">
        <f t="shared" si="11"/>
        <v>0</v>
      </c>
      <c r="I339" s="1">
        <f>IF(COUNTIF('Transaction Data'!A:A,A339)&gt;5,20,0)+IF(COUNTIFS('Transaction Data'!A:A,A339,'Transaction Data'!G:G,"Yes")&gt;2,30,0)</f>
        <v>0</v>
      </c>
      <c r="J339">
        <f>'Client Master Data'!I339+'Client Master Data'!J339+H339+I339</f>
        <v>40</v>
      </c>
    </row>
    <row r="340" spans="1:10">
      <c r="A340">
        <v>1358</v>
      </c>
      <c r="B340" t="s">
        <v>1084</v>
      </c>
      <c r="C340" t="s">
        <v>602</v>
      </c>
      <c r="D340">
        <v>239351</v>
      </c>
      <c r="E340" t="s">
        <v>600</v>
      </c>
      <c r="F340" t="s">
        <v>27</v>
      </c>
      <c r="G340" t="str">
        <f t="shared" si="10"/>
        <v>Yes</v>
      </c>
      <c r="H340">
        <f t="shared" si="11"/>
        <v>70</v>
      </c>
      <c r="I340" s="1">
        <f>IF(COUNTIF('Transaction Data'!A:A,A340)&gt;5,20,0)+IF(COUNTIFS('Transaction Data'!A:A,A340,'Transaction Data'!G:G,"Yes")&gt;2,30,0)</f>
        <v>0</v>
      </c>
      <c r="J340">
        <f>'Client Master Data'!I340+'Client Master Data'!J340+H340+I340</f>
        <v>110</v>
      </c>
    </row>
    <row r="341" spans="1:10">
      <c r="A341">
        <v>1383</v>
      </c>
      <c r="B341" t="s">
        <v>1085</v>
      </c>
      <c r="C341" t="s">
        <v>616</v>
      </c>
      <c r="D341">
        <v>123846</v>
      </c>
      <c r="E341" t="s">
        <v>588</v>
      </c>
      <c r="F341" t="s">
        <v>39</v>
      </c>
      <c r="G341" t="str">
        <f t="shared" si="10"/>
        <v>Yes</v>
      </c>
      <c r="H341">
        <f t="shared" si="11"/>
        <v>70</v>
      </c>
      <c r="I341" s="1">
        <f>IF(COUNTIF('Transaction Data'!A:A,A341)&gt;5,20,0)+IF(COUNTIFS('Transaction Data'!A:A,A341,'Transaction Data'!G:G,"Yes")&gt;2,30,0)</f>
        <v>30</v>
      </c>
      <c r="J341">
        <f>'Client Master Data'!I341+'Client Master Data'!J341+H341+I341</f>
        <v>120</v>
      </c>
    </row>
    <row r="342" spans="1:10">
      <c r="A342">
        <v>1348</v>
      </c>
      <c r="B342" t="s">
        <v>1086</v>
      </c>
      <c r="C342" t="s">
        <v>910</v>
      </c>
      <c r="D342">
        <v>453873</v>
      </c>
      <c r="E342" t="s">
        <v>593</v>
      </c>
      <c r="F342" t="s">
        <v>39</v>
      </c>
      <c r="G342" t="str">
        <f t="shared" si="10"/>
        <v>Yes</v>
      </c>
      <c r="H342">
        <f t="shared" si="11"/>
        <v>70</v>
      </c>
      <c r="I342" s="1">
        <f>IF(COUNTIF('Transaction Data'!A:A,A342)&gt;5,20,0)+IF(COUNTIFS('Transaction Data'!A:A,A342,'Transaction Data'!G:G,"Yes")&gt;2,30,0)</f>
        <v>0</v>
      </c>
      <c r="J342">
        <f>'Client Master Data'!I342+'Client Master Data'!J342+H342+I342</f>
        <v>120</v>
      </c>
    </row>
    <row r="343" spans="1:10">
      <c r="A343">
        <v>1516</v>
      </c>
      <c r="B343" t="s">
        <v>1087</v>
      </c>
      <c r="C343" t="s">
        <v>1056</v>
      </c>
      <c r="D343">
        <v>298018</v>
      </c>
      <c r="E343" t="s">
        <v>588</v>
      </c>
      <c r="F343" t="s">
        <v>54</v>
      </c>
      <c r="G343" t="str">
        <f t="shared" si="10"/>
        <v>Yes</v>
      </c>
      <c r="H343">
        <f t="shared" si="11"/>
        <v>70</v>
      </c>
      <c r="I343" s="1">
        <f>IF(COUNTIF('Transaction Data'!A:A,A343)&gt;5,20,0)+IF(COUNTIFS('Transaction Data'!A:A,A343,'Transaction Data'!G:G,"Yes")&gt;2,30,0)</f>
        <v>30</v>
      </c>
      <c r="J343">
        <f>'Client Master Data'!I343+'Client Master Data'!J343+H343+I343</f>
        <v>120</v>
      </c>
    </row>
    <row r="344" spans="1:10">
      <c r="A344">
        <v>1465</v>
      </c>
      <c r="B344" t="s">
        <v>1088</v>
      </c>
      <c r="C344" t="s">
        <v>590</v>
      </c>
      <c r="D344">
        <v>218037</v>
      </c>
      <c r="E344" t="s">
        <v>600</v>
      </c>
      <c r="F344" t="s">
        <v>11</v>
      </c>
      <c r="G344" t="str">
        <f t="shared" si="10"/>
        <v>Yes</v>
      </c>
      <c r="H344">
        <f t="shared" si="11"/>
        <v>70</v>
      </c>
      <c r="I344" s="1">
        <f>IF(COUNTIF('Transaction Data'!A:A,A344)&gt;5,20,0)+IF(COUNTIFS('Transaction Data'!A:A,A344,'Transaction Data'!G:G,"Yes")&gt;2,30,0)</f>
        <v>30</v>
      </c>
      <c r="J344">
        <f>'Client Master Data'!I344+'Client Master Data'!J344+H344+I344</f>
        <v>150</v>
      </c>
    </row>
    <row r="345" spans="1:10">
      <c r="A345">
        <v>1417</v>
      </c>
      <c r="B345" t="s">
        <v>1089</v>
      </c>
      <c r="C345" t="s">
        <v>633</v>
      </c>
      <c r="D345">
        <v>270244</v>
      </c>
      <c r="E345" t="s">
        <v>588</v>
      </c>
      <c r="F345" t="s">
        <v>17</v>
      </c>
      <c r="G345" t="str">
        <f t="shared" si="10"/>
        <v>Yes</v>
      </c>
      <c r="H345">
        <f t="shared" si="11"/>
        <v>70</v>
      </c>
      <c r="I345" s="1">
        <f>IF(COUNTIF('Transaction Data'!A:A,A345)&gt;5,20,0)+IF(COUNTIFS('Transaction Data'!A:A,A345,'Transaction Data'!G:G,"Yes")&gt;2,30,0)</f>
        <v>0</v>
      </c>
      <c r="J345">
        <f>'Client Master Data'!I345+'Client Master Data'!J345+H345+I345</f>
        <v>140</v>
      </c>
    </row>
    <row r="346" spans="1:10">
      <c r="A346">
        <v>1138</v>
      </c>
      <c r="B346" t="s">
        <v>1090</v>
      </c>
      <c r="C346" t="s">
        <v>751</v>
      </c>
      <c r="D346">
        <v>223253</v>
      </c>
      <c r="E346" t="s">
        <v>588</v>
      </c>
      <c r="F346" t="s">
        <v>54</v>
      </c>
      <c r="G346" t="str">
        <f t="shared" si="10"/>
        <v>Yes</v>
      </c>
      <c r="H346">
        <f t="shared" si="11"/>
        <v>70</v>
      </c>
      <c r="I346" s="1">
        <f>IF(COUNTIF('Transaction Data'!A:A,A346)&gt;5,20,0)+IF(COUNTIFS('Transaction Data'!A:A,A346,'Transaction Data'!G:G,"Yes")&gt;2,30,0)</f>
        <v>0</v>
      </c>
      <c r="J346">
        <f>'Client Master Data'!I346+'Client Master Data'!J346+H346+I346</f>
        <v>130</v>
      </c>
    </row>
    <row r="347" spans="1:10">
      <c r="A347">
        <v>1162</v>
      </c>
      <c r="B347" t="s">
        <v>1091</v>
      </c>
      <c r="C347" t="s">
        <v>614</v>
      </c>
      <c r="D347">
        <v>283824</v>
      </c>
      <c r="E347" t="s">
        <v>593</v>
      </c>
      <c r="F347" t="s">
        <v>17</v>
      </c>
      <c r="G347" t="str">
        <f t="shared" si="10"/>
        <v>Yes</v>
      </c>
      <c r="H347">
        <f t="shared" si="11"/>
        <v>70</v>
      </c>
      <c r="I347" s="1">
        <f>IF(COUNTIF('Transaction Data'!A:A,A347)&gt;5,20,0)+IF(COUNTIFS('Transaction Data'!A:A,A347,'Transaction Data'!G:G,"Yes")&gt;2,30,0)</f>
        <v>0</v>
      </c>
      <c r="J347">
        <f>'Client Master Data'!I347+'Client Master Data'!J347+H347+I347</f>
        <v>110</v>
      </c>
    </row>
    <row r="348" spans="1:10">
      <c r="A348">
        <v>1439</v>
      </c>
      <c r="B348" t="s">
        <v>1092</v>
      </c>
      <c r="C348" t="s">
        <v>638</v>
      </c>
      <c r="D348">
        <v>232676</v>
      </c>
      <c r="E348" t="s">
        <v>600</v>
      </c>
      <c r="F348" t="s">
        <v>39</v>
      </c>
      <c r="G348" t="str">
        <f t="shared" si="10"/>
        <v>Yes</v>
      </c>
      <c r="H348">
        <f t="shared" si="11"/>
        <v>70</v>
      </c>
      <c r="I348" s="1">
        <f>IF(COUNTIF('Transaction Data'!A:A,A348)&gt;5,20,0)+IF(COUNTIFS('Transaction Data'!A:A,A348,'Transaction Data'!G:G,"Yes")&gt;2,30,0)</f>
        <v>0</v>
      </c>
      <c r="J348">
        <f>'Client Master Data'!I348+'Client Master Data'!J348+H348+I348</f>
        <v>110</v>
      </c>
    </row>
    <row r="349" spans="1:10">
      <c r="A349">
        <v>1198</v>
      </c>
      <c r="B349" t="s">
        <v>1093</v>
      </c>
      <c r="C349" t="s">
        <v>921</v>
      </c>
      <c r="D349">
        <v>343087</v>
      </c>
      <c r="E349" t="s">
        <v>600</v>
      </c>
      <c r="F349" t="s">
        <v>39</v>
      </c>
      <c r="G349" t="str">
        <f t="shared" si="10"/>
        <v>Yes</v>
      </c>
      <c r="H349">
        <f t="shared" si="11"/>
        <v>70</v>
      </c>
      <c r="I349" s="1">
        <f>IF(COUNTIF('Transaction Data'!A:A,A349)&gt;5,20,0)+IF(COUNTIFS('Transaction Data'!A:A,A349,'Transaction Data'!G:G,"Yes")&gt;2,30,0)</f>
        <v>0</v>
      </c>
      <c r="J349">
        <f>'Client Master Data'!I349+'Client Master Data'!J349+H349+I349</f>
        <v>100</v>
      </c>
    </row>
    <row r="350" spans="1:10">
      <c r="A350">
        <v>1018</v>
      </c>
      <c r="B350" t="s">
        <v>1094</v>
      </c>
      <c r="C350" t="s">
        <v>809</v>
      </c>
      <c r="D350">
        <v>450059</v>
      </c>
      <c r="E350" t="s">
        <v>600</v>
      </c>
      <c r="F350" t="s">
        <v>27</v>
      </c>
      <c r="G350" t="str">
        <f t="shared" si="10"/>
        <v>Yes</v>
      </c>
      <c r="H350">
        <f t="shared" si="11"/>
        <v>70</v>
      </c>
      <c r="I350" s="1">
        <f>IF(COUNTIF('Transaction Data'!A:A,A350)&gt;5,20,0)+IF(COUNTIFS('Transaction Data'!A:A,A350,'Transaction Data'!G:G,"Yes")&gt;2,30,0)</f>
        <v>30</v>
      </c>
      <c r="J350">
        <f>'Client Master Data'!I350+'Client Master Data'!J350+H350+I350</f>
        <v>170</v>
      </c>
    </row>
    <row r="351" spans="1:10">
      <c r="A351">
        <v>1143</v>
      </c>
      <c r="B351" t="s">
        <v>1095</v>
      </c>
      <c r="C351" t="s">
        <v>720</v>
      </c>
      <c r="D351">
        <v>178645</v>
      </c>
      <c r="E351" t="s">
        <v>593</v>
      </c>
      <c r="F351" t="s">
        <v>17</v>
      </c>
      <c r="G351" t="str">
        <f t="shared" si="10"/>
        <v>Yes</v>
      </c>
      <c r="H351">
        <f t="shared" si="11"/>
        <v>70</v>
      </c>
      <c r="I351" s="1">
        <f>IF(COUNTIF('Transaction Data'!A:A,A351)&gt;5,20,0)+IF(COUNTIFS('Transaction Data'!A:A,A351,'Transaction Data'!G:G,"Yes")&gt;2,30,0)</f>
        <v>0</v>
      </c>
      <c r="J351">
        <f>'Client Master Data'!I351+'Client Master Data'!J351+H351+I351</f>
        <v>120</v>
      </c>
    </row>
    <row r="352" spans="1:10">
      <c r="A352">
        <v>1530</v>
      </c>
      <c r="B352" t="s">
        <v>1096</v>
      </c>
      <c r="C352" t="s">
        <v>789</v>
      </c>
      <c r="D352">
        <v>321129</v>
      </c>
      <c r="E352" t="s">
        <v>588</v>
      </c>
      <c r="F352" t="s">
        <v>17</v>
      </c>
      <c r="G352" t="str">
        <f t="shared" si="10"/>
        <v>Yes</v>
      </c>
      <c r="H352">
        <f t="shared" si="11"/>
        <v>70</v>
      </c>
      <c r="I352" s="1">
        <f>IF(COUNTIF('Transaction Data'!A:A,A352)&gt;5,20,0)+IF(COUNTIFS('Transaction Data'!A:A,A352,'Transaction Data'!G:G,"Yes")&gt;2,30,0)</f>
        <v>0</v>
      </c>
      <c r="J352">
        <f>'Client Master Data'!I352+'Client Master Data'!J352+H352+I352</f>
        <v>110</v>
      </c>
    </row>
    <row r="353" spans="1:10">
      <c r="A353">
        <v>1215</v>
      </c>
      <c r="B353" t="s">
        <v>1097</v>
      </c>
      <c r="C353" t="s">
        <v>694</v>
      </c>
      <c r="D353">
        <v>464861</v>
      </c>
      <c r="E353" t="s">
        <v>600</v>
      </c>
      <c r="F353" t="s">
        <v>27</v>
      </c>
      <c r="G353" t="str">
        <f t="shared" si="10"/>
        <v>Yes</v>
      </c>
      <c r="H353">
        <f t="shared" si="11"/>
        <v>70</v>
      </c>
      <c r="I353" s="1">
        <f>IF(COUNTIF('Transaction Data'!A:A,A353)&gt;5,20,0)+IF(COUNTIFS('Transaction Data'!A:A,A353,'Transaction Data'!G:G,"Yes")&gt;2,30,0)</f>
        <v>0</v>
      </c>
      <c r="J353">
        <f>'Client Master Data'!I353+'Client Master Data'!J353+H353+I353</f>
        <v>140</v>
      </c>
    </row>
    <row r="354" spans="1:10">
      <c r="A354">
        <v>1158</v>
      </c>
      <c r="B354" t="s">
        <v>1098</v>
      </c>
      <c r="C354" t="s">
        <v>738</v>
      </c>
      <c r="D354">
        <v>335542</v>
      </c>
      <c r="E354" t="s">
        <v>588</v>
      </c>
      <c r="F354" t="s">
        <v>17</v>
      </c>
      <c r="G354" t="str">
        <f t="shared" si="10"/>
        <v>Yes</v>
      </c>
      <c r="H354">
        <f t="shared" si="11"/>
        <v>70</v>
      </c>
      <c r="I354" s="1">
        <f>IF(COUNTIF('Transaction Data'!A:A,A354)&gt;5,20,0)+IF(COUNTIFS('Transaction Data'!A:A,A354,'Transaction Data'!G:G,"Yes")&gt;2,30,0)</f>
        <v>0</v>
      </c>
      <c r="J354">
        <f>'Client Master Data'!I354+'Client Master Data'!J354+H354+I354</f>
        <v>130</v>
      </c>
    </row>
    <row r="355" spans="1:10">
      <c r="A355">
        <v>1386</v>
      </c>
      <c r="B355" t="s">
        <v>1099</v>
      </c>
      <c r="C355" t="s">
        <v>984</v>
      </c>
      <c r="D355">
        <v>138342</v>
      </c>
      <c r="E355" t="s">
        <v>600</v>
      </c>
      <c r="F355" t="s">
        <v>54</v>
      </c>
      <c r="G355" t="str">
        <f t="shared" si="10"/>
        <v>Yes</v>
      </c>
      <c r="H355">
        <f t="shared" si="11"/>
        <v>70</v>
      </c>
      <c r="I355" s="1">
        <f>IF(COUNTIF('Transaction Data'!A:A,A355)&gt;5,20,0)+IF(COUNTIFS('Transaction Data'!A:A,A355,'Transaction Data'!G:G,"Yes")&gt;2,30,0)</f>
        <v>30</v>
      </c>
      <c r="J355">
        <f>'Client Master Data'!I355+'Client Master Data'!J355+H355+I355</f>
        <v>130</v>
      </c>
    </row>
    <row r="356" spans="1:10">
      <c r="A356">
        <v>1378</v>
      </c>
      <c r="B356" t="s">
        <v>1100</v>
      </c>
      <c r="C356" t="s">
        <v>773</v>
      </c>
      <c r="D356">
        <v>351001</v>
      </c>
      <c r="E356" t="s">
        <v>593</v>
      </c>
      <c r="F356" t="s">
        <v>54</v>
      </c>
      <c r="G356" t="str">
        <f t="shared" si="10"/>
        <v>Yes</v>
      </c>
      <c r="H356">
        <f t="shared" si="11"/>
        <v>70</v>
      </c>
      <c r="I356" s="1">
        <f>IF(COUNTIF('Transaction Data'!A:A,A356)&gt;5,20,0)+IF(COUNTIFS('Transaction Data'!A:A,A356,'Transaction Data'!G:G,"Yes")&gt;2,30,0)</f>
        <v>0</v>
      </c>
      <c r="J356">
        <f>'Client Master Data'!I356+'Client Master Data'!J356+H356+I356</f>
        <v>90</v>
      </c>
    </row>
    <row r="357" spans="1:10">
      <c r="A357">
        <v>1130</v>
      </c>
      <c r="B357" t="s">
        <v>1101</v>
      </c>
      <c r="C357" t="s">
        <v>646</v>
      </c>
      <c r="D357">
        <v>145069</v>
      </c>
      <c r="E357" t="s">
        <v>588</v>
      </c>
      <c r="F357" t="s">
        <v>54</v>
      </c>
      <c r="G357" t="str">
        <f t="shared" si="10"/>
        <v>Yes</v>
      </c>
      <c r="H357">
        <f t="shared" si="11"/>
        <v>70</v>
      </c>
      <c r="I357" s="1">
        <f>IF(COUNTIF('Transaction Data'!A:A,A357)&gt;5,20,0)+IF(COUNTIFS('Transaction Data'!A:A,A357,'Transaction Data'!G:G,"Yes")&gt;2,30,0)</f>
        <v>0</v>
      </c>
      <c r="J357">
        <f>'Client Master Data'!I357+'Client Master Data'!J357+H357+I357</f>
        <v>140</v>
      </c>
    </row>
    <row r="358" spans="1:10">
      <c r="A358">
        <v>1133</v>
      </c>
      <c r="B358" t="s">
        <v>1102</v>
      </c>
      <c r="C358" t="s">
        <v>1103</v>
      </c>
      <c r="D358">
        <v>184465</v>
      </c>
      <c r="E358" t="s">
        <v>588</v>
      </c>
      <c r="F358" t="s">
        <v>39</v>
      </c>
      <c r="G358" t="str">
        <f t="shared" si="10"/>
        <v>Yes</v>
      </c>
      <c r="H358">
        <f t="shared" si="11"/>
        <v>70</v>
      </c>
      <c r="I358" s="1">
        <f>IF(COUNTIF('Transaction Data'!A:A,A358)&gt;5,20,0)+IF(COUNTIFS('Transaction Data'!A:A,A358,'Transaction Data'!G:G,"Yes")&gt;2,30,0)</f>
        <v>30</v>
      </c>
      <c r="J358">
        <f>'Client Master Data'!I358+'Client Master Data'!J358+H358+I358</f>
        <v>170</v>
      </c>
    </row>
    <row r="359" spans="1:10">
      <c r="A359">
        <v>1192</v>
      </c>
      <c r="B359" t="s">
        <v>1104</v>
      </c>
      <c r="C359" t="s">
        <v>678</v>
      </c>
      <c r="D359">
        <v>387073</v>
      </c>
      <c r="E359" t="s">
        <v>600</v>
      </c>
      <c r="F359" t="s">
        <v>11</v>
      </c>
      <c r="G359" t="str">
        <f t="shared" si="10"/>
        <v>Yes</v>
      </c>
      <c r="H359">
        <f t="shared" si="11"/>
        <v>70</v>
      </c>
      <c r="I359" s="1">
        <f>IF(COUNTIF('Transaction Data'!A:A,A359)&gt;5,20,0)+IF(COUNTIFS('Transaction Data'!A:A,A359,'Transaction Data'!G:G,"Yes")&gt;2,30,0)</f>
        <v>30</v>
      </c>
      <c r="J359">
        <f>'Client Master Data'!I359+'Client Master Data'!J359+H359+I359</f>
        <v>150</v>
      </c>
    </row>
    <row r="360" spans="1:10">
      <c r="A360">
        <v>1421</v>
      </c>
      <c r="B360" t="s">
        <v>1105</v>
      </c>
      <c r="C360" t="s">
        <v>673</v>
      </c>
      <c r="D360">
        <v>174553</v>
      </c>
      <c r="E360" t="s">
        <v>600</v>
      </c>
      <c r="F360" t="s">
        <v>23</v>
      </c>
      <c r="G360" t="str">
        <f t="shared" si="10"/>
        <v>Yes</v>
      </c>
      <c r="H360">
        <f t="shared" si="11"/>
        <v>70</v>
      </c>
      <c r="I360" s="1">
        <f>IF(COUNTIF('Transaction Data'!A:A,A360)&gt;5,20,0)+IF(COUNTIFS('Transaction Data'!A:A,A360,'Transaction Data'!G:G,"Yes")&gt;2,30,0)</f>
        <v>30</v>
      </c>
      <c r="J360">
        <f>'Client Master Data'!I360+'Client Master Data'!J360+H360+I360</f>
        <v>170</v>
      </c>
    </row>
    <row r="361" spans="1:10">
      <c r="A361">
        <v>1046</v>
      </c>
      <c r="B361" t="s">
        <v>1106</v>
      </c>
      <c r="C361" t="s">
        <v>1014</v>
      </c>
      <c r="D361">
        <v>33764</v>
      </c>
      <c r="E361" t="s">
        <v>600</v>
      </c>
      <c r="F361" t="s">
        <v>54</v>
      </c>
      <c r="G361" t="str">
        <f t="shared" si="10"/>
        <v>Yes</v>
      </c>
      <c r="H361">
        <f t="shared" si="11"/>
        <v>40</v>
      </c>
      <c r="I361" s="1">
        <f>IF(COUNTIF('Transaction Data'!A:A,A361)&gt;5,20,0)+IF(COUNTIFS('Transaction Data'!A:A,A361,'Transaction Data'!G:G,"Yes")&gt;2,30,0)</f>
        <v>0</v>
      </c>
      <c r="J361">
        <f>'Client Master Data'!I361+'Client Master Data'!J361+H361+I361</f>
        <v>100</v>
      </c>
    </row>
    <row r="362" spans="1:10">
      <c r="A362">
        <v>1363</v>
      </c>
      <c r="B362" t="s">
        <v>1107</v>
      </c>
      <c r="C362" t="s">
        <v>861</v>
      </c>
      <c r="D362">
        <v>468623</v>
      </c>
      <c r="E362" t="s">
        <v>588</v>
      </c>
      <c r="F362" t="s">
        <v>39</v>
      </c>
      <c r="G362" t="str">
        <f t="shared" si="10"/>
        <v>Yes</v>
      </c>
      <c r="H362">
        <f t="shared" si="11"/>
        <v>70</v>
      </c>
      <c r="I362" s="1">
        <f>IF(COUNTIF('Transaction Data'!A:A,A362)&gt;5,20,0)+IF(COUNTIFS('Transaction Data'!A:A,A362,'Transaction Data'!G:G,"Yes")&gt;2,30,0)</f>
        <v>0</v>
      </c>
      <c r="J362">
        <f>'Client Master Data'!I362+'Client Master Data'!J362+H362+I362</f>
        <v>100</v>
      </c>
    </row>
    <row r="363" spans="1:10">
      <c r="A363">
        <v>1306</v>
      </c>
      <c r="B363" t="s">
        <v>1108</v>
      </c>
      <c r="C363" t="s">
        <v>773</v>
      </c>
      <c r="D363">
        <v>125451</v>
      </c>
      <c r="E363" t="s">
        <v>588</v>
      </c>
      <c r="F363" t="s">
        <v>23</v>
      </c>
      <c r="G363" t="str">
        <f t="shared" si="10"/>
        <v>Yes</v>
      </c>
      <c r="H363">
        <f t="shared" si="11"/>
        <v>70</v>
      </c>
      <c r="I363" s="1">
        <f>IF(COUNTIF('Transaction Data'!A:A,A363)&gt;5,20,0)+IF(COUNTIFS('Transaction Data'!A:A,A363,'Transaction Data'!G:G,"Yes")&gt;2,30,0)</f>
        <v>0</v>
      </c>
      <c r="J363">
        <f>'Client Master Data'!I363+'Client Master Data'!J363+H363+I363</f>
        <v>110</v>
      </c>
    </row>
    <row r="364" spans="1:10">
      <c r="A364">
        <v>1324</v>
      </c>
      <c r="B364" t="s">
        <v>1109</v>
      </c>
      <c r="C364" t="s">
        <v>902</v>
      </c>
      <c r="D364">
        <v>19318</v>
      </c>
      <c r="E364" t="s">
        <v>593</v>
      </c>
      <c r="F364" t="s">
        <v>11</v>
      </c>
      <c r="G364" t="str">
        <f t="shared" si="10"/>
        <v>No</v>
      </c>
      <c r="H364">
        <f t="shared" si="11"/>
        <v>0</v>
      </c>
      <c r="I364" s="1">
        <f>IF(COUNTIF('Transaction Data'!A:A,A364)&gt;5,20,0)+IF(COUNTIFS('Transaction Data'!A:A,A364,'Transaction Data'!G:G,"Yes")&gt;2,30,0)</f>
        <v>0</v>
      </c>
      <c r="J364">
        <f>'Client Master Data'!I364+'Client Master Data'!J364+H364+I364</f>
        <v>50</v>
      </c>
    </row>
    <row r="365" spans="1:10">
      <c r="A365">
        <v>1257</v>
      </c>
      <c r="B365" t="s">
        <v>1110</v>
      </c>
      <c r="C365" t="s">
        <v>709</v>
      </c>
      <c r="D365">
        <v>72019</v>
      </c>
      <c r="E365" t="s">
        <v>600</v>
      </c>
      <c r="F365" t="s">
        <v>17</v>
      </c>
      <c r="G365" t="str">
        <f t="shared" si="10"/>
        <v>Yes</v>
      </c>
      <c r="H365">
        <f t="shared" si="11"/>
        <v>40</v>
      </c>
      <c r="I365" s="1">
        <f>IF(COUNTIF('Transaction Data'!A:A,A365)&gt;5,20,0)+IF(COUNTIFS('Transaction Data'!A:A,A365,'Transaction Data'!G:G,"Yes")&gt;2,30,0)</f>
        <v>30</v>
      </c>
      <c r="J365">
        <f>'Client Master Data'!I365+'Client Master Data'!J365+H365+I365</f>
        <v>140</v>
      </c>
    </row>
    <row r="366" spans="1:10">
      <c r="A366">
        <v>1018</v>
      </c>
      <c r="B366" t="s">
        <v>1111</v>
      </c>
      <c r="C366" t="s">
        <v>666</v>
      </c>
      <c r="D366">
        <v>127129</v>
      </c>
      <c r="E366" t="s">
        <v>600</v>
      </c>
      <c r="F366" t="s">
        <v>27</v>
      </c>
      <c r="G366" t="str">
        <f t="shared" si="10"/>
        <v>Yes</v>
      </c>
      <c r="H366">
        <f t="shared" si="11"/>
        <v>70</v>
      </c>
      <c r="I366" s="1">
        <f>IF(COUNTIF('Transaction Data'!A:A,A366)&gt;5,20,0)+IF(COUNTIFS('Transaction Data'!A:A,A366,'Transaction Data'!G:G,"Yes")&gt;2,30,0)</f>
        <v>30</v>
      </c>
      <c r="J366">
        <f>'Client Master Data'!I366+'Client Master Data'!J366+H366+I366</f>
        <v>140</v>
      </c>
    </row>
    <row r="367" spans="1:10">
      <c r="A367">
        <v>1419</v>
      </c>
      <c r="B367" t="s">
        <v>1112</v>
      </c>
      <c r="C367" t="s">
        <v>1022</v>
      </c>
      <c r="D367">
        <v>242035</v>
      </c>
      <c r="E367" t="s">
        <v>600</v>
      </c>
      <c r="F367" t="s">
        <v>17</v>
      </c>
      <c r="G367" t="str">
        <f t="shared" si="10"/>
        <v>Yes</v>
      </c>
      <c r="H367">
        <f t="shared" si="11"/>
        <v>70</v>
      </c>
      <c r="I367" s="1">
        <f>IF(COUNTIF('Transaction Data'!A:A,A367)&gt;5,20,0)+IF(COUNTIFS('Transaction Data'!A:A,A367,'Transaction Data'!G:G,"Yes")&gt;2,30,0)</f>
        <v>0</v>
      </c>
      <c r="J367">
        <f>'Client Master Data'!I367+'Client Master Data'!J367+H367+I367</f>
        <v>100</v>
      </c>
    </row>
    <row r="368" spans="1:10">
      <c r="A368">
        <v>1096</v>
      </c>
      <c r="B368" t="s">
        <v>1113</v>
      </c>
      <c r="C368" t="s">
        <v>633</v>
      </c>
      <c r="D368">
        <v>391254</v>
      </c>
      <c r="E368" t="s">
        <v>600</v>
      </c>
      <c r="F368" t="s">
        <v>11</v>
      </c>
      <c r="G368" t="str">
        <f t="shared" si="10"/>
        <v>Yes</v>
      </c>
      <c r="H368">
        <f t="shared" si="11"/>
        <v>70</v>
      </c>
      <c r="I368" s="1">
        <f>IF(COUNTIF('Transaction Data'!A:A,A368)&gt;5,20,0)+IF(COUNTIFS('Transaction Data'!A:A,A368,'Transaction Data'!G:G,"Yes")&gt;2,30,0)</f>
        <v>30</v>
      </c>
      <c r="J368">
        <f>'Client Master Data'!I368+'Client Master Data'!J368+H368+I368</f>
        <v>150</v>
      </c>
    </row>
    <row r="369" spans="1:10">
      <c r="A369">
        <v>1329</v>
      </c>
      <c r="B369" t="s">
        <v>1114</v>
      </c>
      <c r="C369" t="s">
        <v>1115</v>
      </c>
      <c r="D369">
        <v>84265</v>
      </c>
      <c r="E369" t="s">
        <v>593</v>
      </c>
      <c r="F369" t="s">
        <v>17</v>
      </c>
      <c r="G369" t="str">
        <f t="shared" si="10"/>
        <v>Yes</v>
      </c>
      <c r="H369">
        <f t="shared" si="11"/>
        <v>40</v>
      </c>
      <c r="I369" s="1">
        <f>IF(COUNTIF('Transaction Data'!A:A,A369)&gt;5,20,0)+IF(COUNTIFS('Transaction Data'!A:A,A369,'Transaction Data'!G:G,"Yes")&gt;2,30,0)</f>
        <v>0</v>
      </c>
      <c r="J369">
        <f>'Client Master Data'!I369+'Client Master Data'!J369+H369+I369</f>
        <v>100</v>
      </c>
    </row>
    <row r="370" spans="1:10">
      <c r="A370">
        <v>1464</v>
      </c>
      <c r="B370" t="s">
        <v>1116</v>
      </c>
      <c r="C370" t="s">
        <v>870</v>
      </c>
      <c r="D370">
        <v>491423</v>
      </c>
      <c r="E370" t="s">
        <v>588</v>
      </c>
      <c r="F370" t="s">
        <v>23</v>
      </c>
      <c r="G370" t="str">
        <f t="shared" si="10"/>
        <v>Yes</v>
      </c>
      <c r="H370">
        <f t="shared" si="11"/>
        <v>70</v>
      </c>
      <c r="I370" s="1">
        <f>IF(COUNTIF('Transaction Data'!A:A,A370)&gt;5,20,0)+IF(COUNTIFS('Transaction Data'!A:A,A370,'Transaction Data'!G:G,"Yes")&gt;2,30,0)</f>
        <v>50</v>
      </c>
      <c r="J370">
        <f>'Client Master Data'!I370+'Client Master Data'!J370+H370+I370</f>
        <v>160</v>
      </c>
    </row>
    <row r="371" spans="1:10">
      <c r="A371">
        <v>1453</v>
      </c>
      <c r="B371" t="s">
        <v>1117</v>
      </c>
      <c r="C371" t="s">
        <v>1118</v>
      </c>
      <c r="D371">
        <v>396252</v>
      </c>
      <c r="E371" t="s">
        <v>593</v>
      </c>
      <c r="F371" t="s">
        <v>39</v>
      </c>
      <c r="G371" t="str">
        <f t="shared" si="10"/>
        <v>Yes</v>
      </c>
      <c r="H371">
        <f t="shared" si="11"/>
        <v>70</v>
      </c>
      <c r="I371" s="1">
        <f>IF(COUNTIF('Transaction Data'!A:A,A371)&gt;5,20,0)+IF(COUNTIFS('Transaction Data'!A:A,A371,'Transaction Data'!G:G,"Yes")&gt;2,30,0)</f>
        <v>0</v>
      </c>
      <c r="J371">
        <f>'Client Master Data'!I371+'Client Master Data'!J371+H371+I371</f>
        <v>120</v>
      </c>
    </row>
    <row r="372" spans="1:10">
      <c r="A372">
        <v>1511</v>
      </c>
      <c r="B372" t="s">
        <v>1119</v>
      </c>
      <c r="C372" t="s">
        <v>842</v>
      </c>
      <c r="D372">
        <v>78522</v>
      </c>
      <c r="E372" t="s">
        <v>600</v>
      </c>
      <c r="F372" t="s">
        <v>39</v>
      </c>
      <c r="G372" t="str">
        <f t="shared" si="10"/>
        <v>No</v>
      </c>
      <c r="H372">
        <f t="shared" si="11"/>
        <v>0</v>
      </c>
      <c r="I372" s="1">
        <f>IF(COUNTIF('Transaction Data'!A:A,A372)&gt;5,20,0)+IF(COUNTIFS('Transaction Data'!A:A,A372,'Transaction Data'!G:G,"Yes")&gt;2,30,0)</f>
        <v>0</v>
      </c>
      <c r="J372">
        <f>'Client Master Data'!I372+'Client Master Data'!J372+H372+I372</f>
        <v>70</v>
      </c>
    </row>
    <row r="373" spans="1:10">
      <c r="A373">
        <v>1325</v>
      </c>
      <c r="B373" t="s">
        <v>1120</v>
      </c>
      <c r="C373" t="s">
        <v>669</v>
      </c>
      <c r="D373">
        <v>325384</v>
      </c>
      <c r="E373" t="s">
        <v>588</v>
      </c>
      <c r="F373" t="s">
        <v>54</v>
      </c>
      <c r="G373" t="str">
        <f t="shared" si="10"/>
        <v>Yes</v>
      </c>
      <c r="H373">
        <f t="shared" si="11"/>
        <v>70</v>
      </c>
      <c r="I373" s="1">
        <f>IF(COUNTIF('Transaction Data'!A:A,A373)&gt;5,20,0)+IF(COUNTIFS('Transaction Data'!A:A,A373,'Transaction Data'!G:G,"Yes")&gt;2,30,0)</f>
        <v>30</v>
      </c>
      <c r="J373">
        <f>'Client Master Data'!I373+'Client Master Data'!J373+H373+I373</f>
        <v>150</v>
      </c>
    </row>
    <row r="374" spans="1:10">
      <c r="A374">
        <v>1002</v>
      </c>
      <c r="B374" t="s">
        <v>1121</v>
      </c>
      <c r="C374" t="s">
        <v>930</v>
      </c>
      <c r="D374">
        <v>390762</v>
      </c>
      <c r="E374" t="s">
        <v>588</v>
      </c>
      <c r="F374" t="s">
        <v>27</v>
      </c>
      <c r="G374" t="str">
        <f t="shared" si="10"/>
        <v>Yes</v>
      </c>
      <c r="H374">
        <f t="shared" si="11"/>
        <v>70</v>
      </c>
      <c r="I374" s="1">
        <f>IF(COUNTIF('Transaction Data'!A:A,A374)&gt;5,20,0)+IF(COUNTIFS('Transaction Data'!A:A,A374,'Transaction Data'!G:G,"Yes")&gt;2,30,0)</f>
        <v>0</v>
      </c>
      <c r="J374">
        <f>'Client Master Data'!I374+'Client Master Data'!J374+H374+I374</f>
        <v>130</v>
      </c>
    </row>
    <row r="375" spans="1:10">
      <c r="A375">
        <v>1111</v>
      </c>
      <c r="B375" t="s">
        <v>1122</v>
      </c>
      <c r="C375" t="s">
        <v>745</v>
      </c>
      <c r="D375">
        <v>232424</v>
      </c>
      <c r="E375" t="s">
        <v>588</v>
      </c>
      <c r="F375" t="s">
        <v>54</v>
      </c>
      <c r="G375" t="str">
        <f t="shared" si="10"/>
        <v>Yes</v>
      </c>
      <c r="H375">
        <f t="shared" si="11"/>
        <v>70</v>
      </c>
      <c r="I375" s="1">
        <f>IF(COUNTIF('Transaction Data'!A:A,A375)&gt;5,20,0)+IF(COUNTIFS('Transaction Data'!A:A,A375,'Transaction Data'!G:G,"Yes")&gt;2,30,0)</f>
        <v>0</v>
      </c>
      <c r="J375">
        <f>'Client Master Data'!I375+'Client Master Data'!J375+H375+I375</f>
        <v>100</v>
      </c>
    </row>
    <row r="376" spans="1:10">
      <c r="A376">
        <v>1433</v>
      </c>
      <c r="B376" t="s">
        <v>1123</v>
      </c>
      <c r="C376" t="s">
        <v>652</v>
      </c>
      <c r="D376">
        <v>6999</v>
      </c>
      <c r="E376" t="s">
        <v>600</v>
      </c>
      <c r="F376" t="s">
        <v>39</v>
      </c>
      <c r="G376" t="str">
        <f t="shared" si="10"/>
        <v>No</v>
      </c>
      <c r="H376">
        <f t="shared" si="11"/>
        <v>0</v>
      </c>
      <c r="I376" s="1">
        <f>IF(COUNTIF('Transaction Data'!A:A,A376)&gt;5,20,0)+IF(COUNTIFS('Transaction Data'!A:A,A376,'Transaction Data'!G:G,"Yes")&gt;2,30,0)</f>
        <v>0</v>
      </c>
      <c r="J376">
        <f>'Client Master Data'!I376+'Client Master Data'!J376+H376+I376</f>
        <v>30</v>
      </c>
    </row>
    <row r="377" spans="1:10">
      <c r="A377">
        <v>1440</v>
      </c>
      <c r="B377" t="s">
        <v>1124</v>
      </c>
      <c r="C377" t="s">
        <v>912</v>
      </c>
      <c r="D377">
        <v>91707</v>
      </c>
      <c r="E377" t="s">
        <v>588</v>
      </c>
      <c r="F377" t="s">
        <v>17</v>
      </c>
      <c r="G377" t="str">
        <f t="shared" si="10"/>
        <v>Yes</v>
      </c>
      <c r="H377">
        <f t="shared" si="11"/>
        <v>40</v>
      </c>
      <c r="I377" s="1">
        <f>IF(COUNTIF('Transaction Data'!A:A,A377)&gt;5,20,0)+IF(COUNTIFS('Transaction Data'!A:A,A377,'Transaction Data'!G:G,"Yes")&gt;2,30,0)</f>
        <v>30</v>
      </c>
      <c r="J377">
        <f>'Client Master Data'!I377+'Client Master Data'!J377+H377+I377</f>
        <v>140</v>
      </c>
    </row>
    <row r="378" spans="1:10">
      <c r="A378">
        <v>1314</v>
      </c>
      <c r="B378" t="s">
        <v>1125</v>
      </c>
      <c r="C378" t="s">
        <v>745</v>
      </c>
      <c r="D378">
        <v>323648</v>
      </c>
      <c r="E378" t="s">
        <v>600</v>
      </c>
      <c r="F378" t="s">
        <v>27</v>
      </c>
      <c r="G378" t="str">
        <f t="shared" si="10"/>
        <v>Yes</v>
      </c>
      <c r="H378">
        <f t="shared" si="11"/>
        <v>70</v>
      </c>
      <c r="I378" s="1">
        <f>IF(COUNTIF('Transaction Data'!A:A,A378)&gt;5,20,0)+IF(COUNTIFS('Transaction Data'!A:A,A378,'Transaction Data'!G:G,"Yes")&gt;2,30,0)</f>
        <v>30</v>
      </c>
      <c r="J378">
        <f>'Client Master Data'!I378+'Client Master Data'!J378+H378+I378</f>
        <v>130</v>
      </c>
    </row>
    <row r="379" spans="1:10">
      <c r="A379">
        <v>1349</v>
      </c>
      <c r="B379" t="s">
        <v>1126</v>
      </c>
      <c r="C379" t="s">
        <v>1127</v>
      </c>
      <c r="D379">
        <v>420251</v>
      </c>
      <c r="E379" t="s">
        <v>588</v>
      </c>
      <c r="F379" t="s">
        <v>54</v>
      </c>
      <c r="G379" t="str">
        <f t="shared" si="10"/>
        <v>Yes</v>
      </c>
      <c r="H379">
        <f t="shared" si="11"/>
        <v>70</v>
      </c>
      <c r="I379" s="1">
        <f>IF(COUNTIF('Transaction Data'!A:A,A379)&gt;5,20,0)+IF(COUNTIFS('Transaction Data'!A:A,A379,'Transaction Data'!G:G,"Yes")&gt;2,30,0)</f>
        <v>0</v>
      </c>
      <c r="J379">
        <f>'Client Master Data'!I379+'Client Master Data'!J379+H379+I379</f>
        <v>100</v>
      </c>
    </row>
    <row r="380" spans="1:10">
      <c r="A380">
        <v>1161</v>
      </c>
      <c r="B380" t="s">
        <v>1128</v>
      </c>
      <c r="C380" t="s">
        <v>745</v>
      </c>
      <c r="D380">
        <v>468523</v>
      </c>
      <c r="E380" t="s">
        <v>593</v>
      </c>
      <c r="F380" t="s">
        <v>27</v>
      </c>
      <c r="G380" t="str">
        <f t="shared" si="10"/>
        <v>Yes</v>
      </c>
      <c r="H380">
        <f t="shared" si="11"/>
        <v>70</v>
      </c>
      <c r="I380" s="1">
        <f>IF(COUNTIF('Transaction Data'!A:A,A380)&gt;5,20,0)+IF(COUNTIFS('Transaction Data'!A:A,A380,'Transaction Data'!G:G,"Yes")&gt;2,30,0)</f>
        <v>30</v>
      </c>
      <c r="J380">
        <f>'Client Master Data'!I380+'Client Master Data'!J380+H380+I380</f>
        <v>160</v>
      </c>
    </row>
    <row r="381" spans="1:10">
      <c r="A381">
        <v>1454</v>
      </c>
      <c r="B381" t="s">
        <v>1129</v>
      </c>
      <c r="C381" t="s">
        <v>792</v>
      </c>
      <c r="D381">
        <v>340605</v>
      </c>
      <c r="E381" t="s">
        <v>588</v>
      </c>
      <c r="F381" t="s">
        <v>54</v>
      </c>
      <c r="G381" t="str">
        <f t="shared" si="10"/>
        <v>Yes</v>
      </c>
      <c r="H381">
        <f t="shared" si="11"/>
        <v>70</v>
      </c>
      <c r="I381" s="1">
        <f>IF(COUNTIF('Transaction Data'!A:A,A381)&gt;5,20,0)+IF(COUNTIFS('Transaction Data'!A:A,A381,'Transaction Data'!G:G,"Yes")&gt;2,30,0)</f>
        <v>30</v>
      </c>
      <c r="J381">
        <f>'Client Master Data'!I381+'Client Master Data'!J381+H381+I381</f>
        <v>150</v>
      </c>
    </row>
    <row r="382" spans="1:10">
      <c r="A382">
        <v>1358</v>
      </c>
      <c r="B382" t="s">
        <v>1130</v>
      </c>
      <c r="C382" t="s">
        <v>676</v>
      </c>
      <c r="D382">
        <v>490999</v>
      </c>
      <c r="E382" t="s">
        <v>600</v>
      </c>
      <c r="F382" t="s">
        <v>39</v>
      </c>
      <c r="G382" t="str">
        <f t="shared" si="10"/>
        <v>Yes</v>
      </c>
      <c r="H382">
        <f t="shared" si="11"/>
        <v>70</v>
      </c>
      <c r="I382" s="1">
        <f>IF(COUNTIF('Transaction Data'!A:A,A382)&gt;5,20,0)+IF(COUNTIFS('Transaction Data'!A:A,A382,'Transaction Data'!G:G,"Yes")&gt;2,30,0)</f>
        <v>0</v>
      </c>
      <c r="J382">
        <f>'Client Master Data'!I382+'Client Master Data'!J382+H382+I382</f>
        <v>120</v>
      </c>
    </row>
    <row r="383" spans="1:10">
      <c r="A383">
        <v>1005</v>
      </c>
      <c r="B383" t="s">
        <v>1131</v>
      </c>
      <c r="C383" t="s">
        <v>919</v>
      </c>
      <c r="D383">
        <v>267707</v>
      </c>
      <c r="E383" t="s">
        <v>588</v>
      </c>
      <c r="F383" t="s">
        <v>23</v>
      </c>
      <c r="G383" t="str">
        <f t="shared" si="10"/>
        <v>Yes</v>
      </c>
      <c r="H383">
        <f t="shared" si="11"/>
        <v>70</v>
      </c>
      <c r="I383" s="1">
        <f>IF(COUNTIF('Transaction Data'!A:A,A383)&gt;5,20,0)+IF(COUNTIFS('Transaction Data'!A:A,A383,'Transaction Data'!G:G,"Yes")&gt;2,30,0)</f>
        <v>0</v>
      </c>
      <c r="J383">
        <f>'Client Master Data'!I383+'Client Master Data'!J383+H383+I383</f>
        <v>130</v>
      </c>
    </row>
    <row r="384" spans="1:10">
      <c r="A384">
        <v>1427</v>
      </c>
      <c r="B384" t="s">
        <v>1132</v>
      </c>
      <c r="C384" t="s">
        <v>1133</v>
      </c>
      <c r="D384">
        <v>49379</v>
      </c>
      <c r="E384" t="s">
        <v>600</v>
      </c>
      <c r="F384" t="s">
        <v>23</v>
      </c>
      <c r="G384" t="str">
        <f t="shared" si="10"/>
        <v>No</v>
      </c>
      <c r="H384">
        <f t="shared" si="11"/>
        <v>0</v>
      </c>
      <c r="I384" s="1">
        <f>IF(COUNTIF('Transaction Data'!A:A,A384)&gt;5,20,0)+IF(COUNTIFS('Transaction Data'!A:A,A384,'Transaction Data'!G:G,"Yes")&gt;2,30,0)</f>
        <v>50</v>
      </c>
      <c r="J384">
        <f>'Client Master Data'!I384+'Client Master Data'!J384+H384+I384</f>
        <v>120</v>
      </c>
    </row>
    <row r="385" spans="1:10">
      <c r="A385">
        <v>1351</v>
      </c>
      <c r="B385" t="s">
        <v>1134</v>
      </c>
      <c r="C385" t="s">
        <v>798</v>
      </c>
      <c r="D385">
        <v>269858</v>
      </c>
      <c r="E385" t="s">
        <v>593</v>
      </c>
      <c r="F385" t="s">
        <v>39</v>
      </c>
      <c r="G385" t="str">
        <f t="shared" si="10"/>
        <v>Yes</v>
      </c>
      <c r="H385">
        <f t="shared" si="11"/>
        <v>70</v>
      </c>
      <c r="I385" s="1">
        <f>IF(COUNTIF('Transaction Data'!A:A,A385)&gt;5,20,0)+IF(COUNTIFS('Transaction Data'!A:A,A385,'Transaction Data'!G:G,"Yes")&gt;2,30,0)</f>
        <v>0</v>
      </c>
      <c r="J385">
        <f>'Client Master Data'!I385+'Client Master Data'!J385+H385+I385</f>
        <v>130</v>
      </c>
    </row>
    <row r="386" spans="1:10">
      <c r="A386">
        <v>1009</v>
      </c>
      <c r="B386" t="s">
        <v>1135</v>
      </c>
      <c r="C386" t="s">
        <v>953</v>
      </c>
      <c r="D386">
        <v>460311</v>
      </c>
      <c r="E386" t="s">
        <v>588</v>
      </c>
      <c r="F386" t="s">
        <v>54</v>
      </c>
      <c r="G386" t="str">
        <f t="shared" ref="G386:G449" si="12">IF(OR(D386&gt;100000,F386="UAE",F386="Nigeria"),"Yes","No")</f>
        <v>Yes</v>
      </c>
      <c r="H386">
        <f t="shared" si="11"/>
        <v>70</v>
      </c>
      <c r="I386" s="1">
        <f>IF(COUNTIF('Transaction Data'!A:A,A386)&gt;5,20,0)+IF(COUNTIFS('Transaction Data'!A:A,A386,'Transaction Data'!G:G,"Yes")&gt;2,30,0)</f>
        <v>30</v>
      </c>
      <c r="J386">
        <f>'Client Master Data'!I386+'Client Master Data'!J386+H386+I386</f>
        <v>150</v>
      </c>
    </row>
    <row r="387" spans="1:10">
      <c r="A387">
        <v>1209</v>
      </c>
      <c r="B387" t="s">
        <v>1136</v>
      </c>
      <c r="C387" t="s">
        <v>673</v>
      </c>
      <c r="D387">
        <v>129989</v>
      </c>
      <c r="E387" t="s">
        <v>588</v>
      </c>
      <c r="F387" t="s">
        <v>39</v>
      </c>
      <c r="G387" t="str">
        <f t="shared" si="12"/>
        <v>Yes</v>
      </c>
      <c r="H387">
        <f t="shared" ref="H387:H450" si="13">IF(D387&gt;100000,30,0)+IF(TRIM(LOWER(G387))="yes",40,0)</f>
        <v>70</v>
      </c>
      <c r="I387" s="1">
        <f>IF(COUNTIF('Transaction Data'!A:A,A387)&gt;5,20,0)+IF(COUNTIFS('Transaction Data'!A:A,A387,'Transaction Data'!G:G,"Yes")&gt;2,30,0)</f>
        <v>0</v>
      </c>
      <c r="J387">
        <f>'Client Master Data'!I387+'Client Master Data'!J387+H387+I387</f>
        <v>120</v>
      </c>
    </row>
    <row r="388" spans="1:10">
      <c r="A388">
        <v>1169</v>
      </c>
      <c r="B388" t="s">
        <v>1137</v>
      </c>
      <c r="C388" t="s">
        <v>924</v>
      </c>
      <c r="D388">
        <v>383374</v>
      </c>
      <c r="E388" t="s">
        <v>600</v>
      </c>
      <c r="F388" t="s">
        <v>23</v>
      </c>
      <c r="G388" t="str">
        <f t="shared" si="12"/>
        <v>Yes</v>
      </c>
      <c r="H388">
        <f t="shared" si="13"/>
        <v>70</v>
      </c>
      <c r="I388" s="1">
        <f>IF(COUNTIF('Transaction Data'!A:A,A388)&gt;5,20,0)+IF(COUNTIFS('Transaction Data'!A:A,A388,'Transaction Data'!G:G,"Yes")&gt;2,30,0)</f>
        <v>0</v>
      </c>
      <c r="J388">
        <f>'Client Master Data'!I388+'Client Master Data'!J388+H388+I388</f>
        <v>120</v>
      </c>
    </row>
    <row r="389" spans="1:10">
      <c r="A389">
        <v>1029</v>
      </c>
      <c r="B389" t="s">
        <v>1138</v>
      </c>
      <c r="C389" t="s">
        <v>778</v>
      </c>
      <c r="D389">
        <v>57314</v>
      </c>
      <c r="E389" t="s">
        <v>600</v>
      </c>
      <c r="F389" t="s">
        <v>27</v>
      </c>
      <c r="G389" t="str">
        <f t="shared" si="12"/>
        <v>No</v>
      </c>
      <c r="H389">
        <f t="shared" si="13"/>
        <v>0</v>
      </c>
      <c r="I389" s="1">
        <f>IF(COUNTIF('Transaction Data'!A:A,A389)&gt;5,20,0)+IF(COUNTIFS('Transaction Data'!A:A,A389,'Transaction Data'!G:G,"Yes")&gt;2,30,0)</f>
        <v>0</v>
      </c>
      <c r="J389">
        <f>'Client Master Data'!I389+'Client Master Data'!J389+H389+I389</f>
        <v>40</v>
      </c>
    </row>
    <row r="390" spans="1:10">
      <c r="A390">
        <v>1247</v>
      </c>
      <c r="B390" t="s">
        <v>1139</v>
      </c>
      <c r="C390" t="s">
        <v>1140</v>
      </c>
      <c r="D390">
        <v>294518</v>
      </c>
      <c r="E390" t="s">
        <v>600</v>
      </c>
      <c r="F390" t="s">
        <v>17</v>
      </c>
      <c r="G390" t="str">
        <f t="shared" si="12"/>
        <v>Yes</v>
      </c>
      <c r="H390">
        <f t="shared" si="13"/>
        <v>70</v>
      </c>
      <c r="I390" s="1">
        <f>IF(COUNTIF('Transaction Data'!A:A,A390)&gt;5,20,0)+IF(COUNTIFS('Transaction Data'!A:A,A390,'Transaction Data'!G:G,"Yes")&gt;2,30,0)</f>
        <v>0</v>
      </c>
      <c r="J390">
        <f>'Client Master Data'!I390+'Client Master Data'!J390+H390+I390</f>
        <v>140</v>
      </c>
    </row>
    <row r="391" spans="1:10">
      <c r="A391">
        <v>1376</v>
      </c>
      <c r="B391" t="s">
        <v>1141</v>
      </c>
      <c r="C391" t="s">
        <v>1066</v>
      </c>
      <c r="D391">
        <v>246746</v>
      </c>
      <c r="E391" t="s">
        <v>593</v>
      </c>
      <c r="F391" t="s">
        <v>27</v>
      </c>
      <c r="G391" t="str">
        <f t="shared" si="12"/>
        <v>Yes</v>
      </c>
      <c r="H391">
        <f t="shared" si="13"/>
        <v>70</v>
      </c>
      <c r="I391" s="1">
        <f>IF(COUNTIF('Transaction Data'!A:A,A391)&gt;5,20,0)+IF(COUNTIFS('Transaction Data'!A:A,A391,'Transaction Data'!G:G,"Yes")&gt;2,30,0)</f>
        <v>50</v>
      </c>
      <c r="J391">
        <f>'Client Master Data'!I391+'Client Master Data'!J391+H391+I391</f>
        <v>150</v>
      </c>
    </row>
    <row r="392" spans="1:10">
      <c r="A392">
        <v>1469</v>
      </c>
      <c r="B392" t="s">
        <v>1142</v>
      </c>
      <c r="C392" t="s">
        <v>881</v>
      </c>
      <c r="D392">
        <v>315216</v>
      </c>
      <c r="E392" t="s">
        <v>593</v>
      </c>
      <c r="F392" t="s">
        <v>23</v>
      </c>
      <c r="G392" t="str">
        <f t="shared" si="12"/>
        <v>Yes</v>
      </c>
      <c r="H392">
        <f t="shared" si="13"/>
        <v>70</v>
      </c>
      <c r="I392" s="1">
        <f>IF(COUNTIF('Transaction Data'!A:A,A392)&gt;5,20,0)+IF(COUNTIFS('Transaction Data'!A:A,A392,'Transaction Data'!G:G,"Yes")&gt;2,30,0)</f>
        <v>30</v>
      </c>
      <c r="J392">
        <f>'Client Master Data'!I392+'Client Master Data'!J392+H392+I392</f>
        <v>130</v>
      </c>
    </row>
    <row r="393" spans="1:10">
      <c r="A393">
        <v>1366</v>
      </c>
      <c r="B393" t="s">
        <v>1143</v>
      </c>
      <c r="C393" t="s">
        <v>658</v>
      </c>
      <c r="D393">
        <v>336186</v>
      </c>
      <c r="E393" t="s">
        <v>600</v>
      </c>
      <c r="F393" t="s">
        <v>27</v>
      </c>
      <c r="G393" t="str">
        <f t="shared" si="12"/>
        <v>Yes</v>
      </c>
      <c r="H393">
        <f t="shared" si="13"/>
        <v>70</v>
      </c>
      <c r="I393" s="1">
        <f>IF(COUNTIF('Transaction Data'!A:A,A393)&gt;5,20,0)+IF(COUNTIFS('Transaction Data'!A:A,A393,'Transaction Data'!G:G,"Yes")&gt;2,30,0)</f>
        <v>0</v>
      </c>
      <c r="J393">
        <f>'Client Master Data'!I393+'Client Master Data'!J393+H393+I393</f>
        <v>120</v>
      </c>
    </row>
    <row r="394" spans="1:10">
      <c r="A394">
        <v>1212</v>
      </c>
      <c r="B394" t="s">
        <v>1144</v>
      </c>
      <c r="C394" t="s">
        <v>815</v>
      </c>
      <c r="D394">
        <v>102076</v>
      </c>
      <c r="E394" t="s">
        <v>588</v>
      </c>
      <c r="F394" t="s">
        <v>17</v>
      </c>
      <c r="G394" t="str">
        <f t="shared" si="12"/>
        <v>Yes</v>
      </c>
      <c r="H394">
        <f t="shared" si="13"/>
        <v>70</v>
      </c>
      <c r="I394" s="1">
        <f>IF(COUNTIF('Transaction Data'!A:A,A394)&gt;5,20,0)+IF(COUNTIFS('Transaction Data'!A:A,A394,'Transaction Data'!G:G,"Yes")&gt;2,30,0)</f>
        <v>0</v>
      </c>
      <c r="J394">
        <f>'Client Master Data'!I394+'Client Master Data'!J394+H394+I394</f>
        <v>140</v>
      </c>
    </row>
    <row r="395" spans="1:10">
      <c r="A395">
        <v>1302</v>
      </c>
      <c r="B395" t="s">
        <v>1145</v>
      </c>
      <c r="C395" t="s">
        <v>1115</v>
      </c>
      <c r="D395">
        <v>232244</v>
      </c>
      <c r="E395" t="s">
        <v>600</v>
      </c>
      <c r="F395" t="s">
        <v>39</v>
      </c>
      <c r="G395" t="str">
        <f t="shared" si="12"/>
        <v>Yes</v>
      </c>
      <c r="H395">
        <f t="shared" si="13"/>
        <v>70</v>
      </c>
      <c r="I395" s="1">
        <f>IF(COUNTIF('Transaction Data'!A:A,A395)&gt;5,20,0)+IF(COUNTIFS('Transaction Data'!A:A,A395,'Transaction Data'!G:G,"Yes")&gt;2,30,0)</f>
        <v>30</v>
      </c>
      <c r="J395">
        <f>'Client Master Data'!I395+'Client Master Data'!J395+H395+I395</f>
        <v>120</v>
      </c>
    </row>
    <row r="396" spans="1:10">
      <c r="A396">
        <v>1277</v>
      </c>
      <c r="B396" t="s">
        <v>1146</v>
      </c>
      <c r="C396" t="s">
        <v>1103</v>
      </c>
      <c r="D396">
        <v>150628</v>
      </c>
      <c r="E396" t="s">
        <v>593</v>
      </c>
      <c r="F396" t="s">
        <v>23</v>
      </c>
      <c r="G396" t="str">
        <f t="shared" si="12"/>
        <v>Yes</v>
      </c>
      <c r="H396">
        <f t="shared" si="13"/>
        <v>70</v>
      </c>
      <c r="I396" s="1">
        <f>IF(COUNTIF('Transaction Data'!A:A,A396)&gt;5,20,0)+IF(COUNTIFS('Transaction Data'!A:A,A396,'Transaction Data'!G:G,"Yes")&gt;2,30,0)</f>
        <v>0</v>
      </c>
      <c r="J396">
        <f>'Client Master Data'!I396+'Client Master Data'!J396+H396+I396</f>
        <v>110</v>
      </c>
    </row>
    <row r="397" spans="1:10">
      <c r="A397">
        <v>1192</v>
      </c>
      <c r="B397" t="s">
        <v>1147</v>
      </c>
      <c r="C397" t="s">
        <v>870</v>
      </c>
      <c r="D397">
        <v>260416</v>
      </c>
      <c r="E397" t="s">
        <v>593</v>
      </c>
      <c r="F397" t="s">
        <v>17</v>
      </c>
      <c r="G397" t="str">
        <f t="shared" si="12"/>
        <v>Yes</v>
      </c>
      <c r="H397">
        <f t="shared" si="13"/>
        <v>70</v>
      </c>
      <c r="I397" s="1">
        <f>IF(COUNTIF('Transaction Data'!A:A,A397)&gt;5,20,0)+IF(COUNTIFS('Transaction Data'!A:A,A397,'Transaction Data'!G:G,"Yes")&gt;2,30,0)</f>
        <v>30</v>
      </c>
      <c r="J397">
        <f>'Client Master Data'!I397+'Client Master Data'!J397+H397+I397</f>
        <v>120</v>
      </c>
    </row>
    <row r="398" spans="1:10">
      <c r="A398">
        <v>1401</v>
      </c>
      <c r="B398" t="s">
        <v>1148</v>
      </c>
      <c r="C398" t="s">
        <v>633</v>
      </c>
      <c r="D398">
        <v>368832</v>
      </c>
      <c r="E398" t="s">
        <v>593</v>
      </c>
      <c r="F398" t="s">
        <v>39</v>
      </c>
      <c r="G398" t="str">
        <f t="shared" si="12"/>
        <v>Yes</v>
      </c>
      <c r="H398">
        <f t="shared" si="13"/>
        <v>70</v>
      </c>
      <c r="I398" s="1">
        <f>IF(COUNTIF('Transaction Data'!A:A,A398)&gt;5,20,0)+IF(COUNTIFS('Transaction Data'!A:A,A398,'Transaction Data'!G:G,"Yes")&gt;2,30,0)</f>
        <v>0</v>
      </c>
      <c r="J398">
        <f>'Client Master Data'!I398+'Client Master Data'!J398+H398+I398</f>
        <v>100</v>
      </c>
    </row>
    <row r="399" spans="1:10">
      <c r="A399">
        <v>1467</v>
      </c>
      <c r="B399" t="s">
        <v>1149</v>
      </c>
      <c r="C399" t="s">
        <v>1014</v>
      </c>
      <c r="D399">
        <v>190728</v>
      </c>
      <c r="E399" t="s">
        <v>593</v>
      </c>
      <c r="F399" t="s">
        <v>17</v>
      </c>
      <c r="G399" t="str">
        <f t="shared" si="12"/>
        <v>Yes</v>
      </c>
      <c r="H399">
        <f t="shared" si="13"/>
        <v>70</v>
      </c>
      <c r="I399" s="1">
        <f>IF(COUNTIF('Transaction Data'!A:A,A399)&gt;5,20,0)+IF(COUNTIFS('Transaction Data'!A:A,A399,'Transaction Data'!G:G,"Yes")&gt;2,30,0)</f>
        <v>0</v>
      </c>
      <c r="J399">
        <f>'Client Master Data'!I399+'Client Master Data'!J399+H399+I399</f>
        <v>90</v>
      </c>
    </row>
    <row r="400" spans="1:10">
      <c r="A400">
        <v>1107</v>
      </c>
      <c r="B400" t="s">
        <v>1150</v>
      </c>
      <c r="C400" t="s">
        <v>991</v>
      </c>
      <c r="D400">
        <v>203372</v>
      </c>
      <c r="E400" t="s">
        <v>600</v>
      </c>
      <c r="F400" t="s">
        <v>11</v>
      </c>
      <c r="G400" t="str">
        <f t="shared" si="12"/>
        <v>Yes</v>
      </c>
      <c r="H400">
        <f t="shared" si="13"/>
        <v>70</v>
      </c>
      <c r="I400" s="1">
        <f>IF(COUNTIF('Transaction Data'!A:A,A400)&gt;5,20,0)+IF(COUNTIFS('Transaction Data'!A:A,A400,'Transaction Data'!G:G,"Yes")&gt;2,30,0)</f>
        <v>30</v>
      </c>
      <c r="J400">
        <f>'Client Master Data'!I400+'Client Master Data'!J400+H400+I400</f>
        <v>170</v>
      </c>
    </row>
    <row r="401" spans="1:10">
      <c r="A401">
        <v>1376</v>
      </c>
      <c r="B401" t="s">
        <v>1151</v>
      </c>
      <c r="C401" t="s">
        <v>606</v>
      </c>
      <c r="D401">
        <v>402427</v>
      </c>
      <c r="E401" t="s">
        <v>593</v>
      </c>
      <c r="F401" t="s">
        <v>39</v>
      </c>
      <c r="G401" t="str">
        <f t="shared" si="12"/>
        <v>Yes</v>
      </c>
      <c r="H401">
        <f t="shared" si="13"/>
        <v>70</v>
      </c>
      <c r="I401" s="1">
        <f>IF(COUNTIF('Transaction Data'!A:A,A401)&gt;5,20,0)+IF(COUNTIFS('Transaction Data'!A:A,A401,'Transaction Data'!G:G,"Yes")&gt;2,30,0)</f>
        <v>50</v>
      </c>
      <c r="J401">
        <f>'Client Master Data'!I401+'Client Master Data'!J401+H401+I401</f>
        <v>140</v>
      </c>
    </row>
    <row r="402" spans="1:10">
      <c r="A402">
        <v>1064</v>
      </c>
      <c r="B402" t="s">
        <v>1152</v>
      </c>
      <c r="C402" t="s">
        <v>587</v>
      </c>
      <c r="D402">
        <v>405798</v>
      </c>
      <c r="E402" t="s">
        <v>588</v>
      </c>
      <c r="F402" t="s">
        <v>39</v>
      </c>
      <c r="G402" t="str">
        <f t="shared" si="12"/>
        <v>Yes</v>
      </c>
      <c r="H402">
        <f t="shared" si="13"/>
        <v>70</v>
      </c>
      <c r="I402" s="1">
        <f>IF(COUNTIF('Transaction Data'!A:A,A402)&gt;5,20,0)+IF(COUNTIFS('Transaction Data'!A:A,A402,'Transaction Data'!G:G,"Yes")&gt;2,30,0)</f>
        <v>0</v>
      </c>
      <c r="J402">
        <f>'Client Master Data'!I402+'Client Master Data'!J402+H402+I402</f>
        <v>110</v>
      </c>
    </row>
    <row r="403" spans="1:10">
      <c r="A403">
        <v>1502</v>
      </c>
      <c r="B403" t="s">
        <v>1153</v>
      </c>
      <c r="C403" t="s">
        <v>842</v>
      </c>
      <c r="D403">
        <v>125250</v>
      </c>
      <c r="E403" t="s">
        <v>593</v>
      </c>
      <c r="F403" t="s">
        <v>54</v>
      </c>
      <c r="G403" t="str">
        <f t="shared" si="12"/>
        <v>Yes</v>
      </c>
      <c r="H403">
        <f t="shared" si="13"/>
        <v>70</v>
      </c>
      <c r="I403" s="1">
        <f>IF(COUNTIF('Transaction Data'!A:A,A403)&gt;5,20,0)+IF(COUNTIFS('Transaction Data'!A:A,A403,'Transaction Data'!G:G,"Yes")&gt;2,30,0)</f>
        <v>0</v>
      </c>
      <c r="J403">
        <f>'Client Master Data'!I403+'Client Master Data'!J403+H403+I403</f>
        <v>140</v>
      </c>
    </row>
    <row r="404" spans="1:10">
      <c r="A404">
        <v>1116</v>
      </c>
      <c r="B404" t="s">
        <v>1154</v>
      </c>
      <c r="C404" t="s">
        <v>818</v>
      </c>
      <c r="D404">
        <v>11216</v>
      </c>
      <c r="E404" t="s">
        <v>600</v>
      </c>
      <c r="F404" t="s">
        <v>39</v>
      </c>
      <c r="G404" t="str">
        <f t="shared" si="12"/>
        <v>No</v>
      </c>
      <c r="H404">
        <f t="shared" si="13"/>
        <v>0</v>
      </c>
      <c r="I404" s="1">
        <f>IF(COUNTIF('Transaction Data'!A:A,A404)&gt;5,20,0)+IF(COUNTIFS('Transaction Data'!A:A,A404,'Transaction Data'!G:G,"Yes")&gt;2,30,0)</f>
        <v>0</v>
      </c>
      <c r="J404">
        <f>'Client Master Data'!I404+'Client Master Data'!J404+H404+I404</f>
        <v>30</v>
      </c>
    </row>
    <row r="405" spans="1:10">
      <c r="A405">
        <v>1258</v>
      </c>
      <c r="B405" t="s">
        <v>1155</v>
      </c>
      <c r="C405" t="s">
        <v>1046</v>
      </c>
      <c r="D405">
        <v>477511</v>
      </c>
      <c r="E405" t="s">
        <v>588</v>
      </c>
      <c r="F405" t="s">
        <v>11</v>
      </c>
      <c r="G405" t="str">
        <f t="shared" si="12"/>
        <v>Yes</v>
      </c>
      <c r="H405">
        <f t="shared" si="13"/>
        <v>70</v>
      </c>
      <c r="I405" s="1">
        <f>IF(COUNTIF('Transaction Data'!A:A,A405)&gt;5,20,0)+IF(COUNTIFS('Transaction Data'!A:A,A405,'Transaction Data'!G:G,"Yes")&gt;2,30,0)</f>
        <v>0</v>
      </c>
      <c r="J405">
        <f>'Client Master Data'!I405+'Client Master Data'!J405+H405+I405</f>
        <v>120</v>
      </c>
    </row>
    <row r="406" spans="1:10">
      <c r="A406">
        <v>1511</v>
      </c>
      <c r="B406" t="s">
        <v>1156</v>
      </c>
      <c r="C406" t="s">
        <v>953</v>
      </c>
      <c r="D406">
        <v>274564</v>
      </c>
      <c r="E406" t="s">
        <v>588</v>
      </c>
      <c r="F406" t="s">
        <v>11</v>
      </c>
      <c r="G406" t="str">
        <f t="shared" si="12"/>
        <v>Yes</v>
      </c>
      <c r="H406">
        <f t="shared" si="13"/>
        <v>70</v>
      </c>
      <c r="I406" s="1">
        <f>IF(COUNTIF('Transaction Data'!A:A,A406)&gt;5,20,0)+IF(COUNTIFS('Transaction Data'!A:A,A406,'Transaction Data'!G:G,"Yes")&gt;2,30,0)</f>
        <v>0</v>
      </c>
      <c r="J406">
        <f>'Client Master Data'!I406+'Client Master Data'!J406+H406+I406</f>
        <v>90</v>
      </c>
    </row>
    <row r="407" spans="1:10">
      <c r="A407">
        <v>1115</v>
      </c>
      <c r="B407" t="s">
        <v>1157</v>
      </c>
      <c r="C407" t="s">
        <v>870</v>
      </c>
      <c r="D407">
        <v>316783</v>
      </c>
      <c r="E407" t="s">
        <v>600</v>
      </c>
      <c r="F407" t="s">
        <v>39</v>
      </c>
      <c r="G407" t="str">
        <f t="shared" si="12"/>
        <v>Yes</v>
      </c>
      <c r="H407">
        <f t="shared" si="13"/>
        <v>70</v>
      </c>
      <c r="I407" s="1">
        <f>IF(COUNTIF('Transaction Data'!A:A,A407)&gt;5,20,0)+IF(COUNTIFS('Transaction Data'!A:A,A407,'Transaction Data'!G:G,"Yes")&gt;2,30,0)</f>
        <v>0</v>
      </c>
      <c r="J407">
        <f>'Client Master Data'!I407+'Client Master Data'!J407+H407+I407</f>
        <v>120</v>
      </c>
    </row>
    <row r="408" spans="1:10">
      <c r="A408">
        <v>1017</v>
      </c>
      <c r="B408" t="s">
        <v>1158</v>
      </c>
      <c r="C408" t="s">
        <v>1133</v>
      </c>
      <c r="D408">
        <v>328370</v>
      </c>
      <c r="E408" t="s">
        <v>588</v>
      </c>
      <c r="F408" t="s">
        <v>54</v>
      </c>
      <c r="G408" t="str">
        <f t="shared" si="12"/>
        <v>Yes</v>
      </c>
      <c r="H408">
        <f t="shared" si="13"/>
        <v>70</v>
      </c>
      <c r="I408" s="1">
        <f>IF(COUNTIF('Transaction Data'!A:A,A408)&gt;5,20,0)+IF(COUNTIFS('Transaction Data'!A:A,A408,'Transaction Data'!G:G,"Yes")&gt;2,30,0)</f>
        <v>0</v>
      </c>
      <c r="J408">
        <f>'Client Master Data'!I408+'Client Master Data'!J408+H408+I408</f>
        <v>100</v>
      </c>
    </row>
    <row r="409" spans="1:10">
      <c r="A409">
        <v>1434</v>
      </c>
      <c r="B409" t="s">
        <v>1159</v>
      </c>
      <c r="C409" t="s">
        <v>629</v>
      </c>
      <c r="D409">
        <v>211953</v>
      </c>
      <c r="E409" t="s">
        <v>588</v>
      </c>
      <c r="F409" t="s">
        <v>27</v>
      </c>
      <c r="G409" t="str">
        <f t="shared" si="12"/>
        <v>Yes</v>
      </c>
      <c r="H409">
        <f t="shared" si="13"/>
        <v>70</v>
      </c>
      <c r="I409" s="1">
        <f>IF(COUNTIF('Transaction Data'!A:A,A409)&gt;5,20,0)+IF(COUNTIFS('Transaction Data'!A:A,A409,'Transaction Data'!G:G,"Yes")&gt;2,30,0)</f>
        <v>30</v>
      </c>
      <c r="J409">
        <f>'Client Master Data'!I409+'Client Master Data'!J409+H409+I409</f>
        <v>130</v>
      </c>
    </row>
    <row r="410" spans="1:10">
      <c r="A410">
        <v>1548</v>
      </c>
      <c r="B410" t="s">
        <v>1160</v>
      </c>
      <c r="C410" t="s">
        <v>973</v>
      </c>
      <c r="D410">
        <v>297990</v>
      </c>
      <c r="E410" t="s">
        <v>588</v>
      </c>
      <c r="F410" t="s">
        <v>27</v>
      </c>
      <c r="G410" t="str">
        <f t="shared" si="12"/>
        <v>Yes</v>
      </c>
      <c r="H410">
        <f t="shared" si="13"/>
        <v>70</v>
      </c>
      <c r="I410" s="1">
        <f>IF(COUNTIF('Transaction Data'!A:A,A410)&gt;5,20,0)+IF(COUNTIFS('Transaction Data'!A:A,A410,'Transaction Data'!G:G,"Yes")&gt;2,30,0)</f>
        <v>50</v>
      </c>
      <c r="J410">
        <f>'Client Master Data'!I410+'Client Master Data'!J410+H410+I410</f>
        <v>160</v>
      </c>
    </row>
    <row r="411" spans="1:10">
      <c r="A411">
        <v>1361</v>
      </c>
      <c r="B411" t="s">
        <v>1161</v>
      </c>
      <c r="C411" t="s">
        <v>698</v>
      </c>
      <c r="D411">
        <v>325407</v>
      </c>
      <c r="E411" t="s">
        <v>600</v>
      </c>
      <c r="F411" t="s">
        <v>54</v>
      </c>
      <c r="G411" t="str">
        <f t="shared" si="12"/>
        <v>Yes</v>
      </c>
      <c r="H411">
        <f t="shared" si="13"/>
        <v>70</v>
      </c>
      <c r="I411" s="1">
        <f>IF(COUNTIF('Transaction Data'!A:A,A411)&gt;5,20,0)+IF(COUNTIFS('Transaction Data'!A:A,A411,'Transaction Data'!G:G,"Yes")&gt;2,30,0)</f>
        <v>0</v>
      </c>
      <c r="J411">
        <f>'Client Master Data'!I411+'Client Master Data'!J411+H411+I411</f>
        <v>140</v>
      </c>
    </row>
    <row r="412" spans="1:10">
      <c r="A412">
        <v>1140</v>
      </c>
      <c r="B412" t="s">
        <v>1162</v>
      </c>
      <c r="C412" t="s">
        <v>868</v>
      </c>
      <c r="D412">
        <v>483245</v>
      </c>
      <c r="E412" t="s">
        <v>593</v>
      </c>
      <c r="F412" t="s">
        <v>27</v>
      </c>
      <c r="G412" t="str">
        <f t="shared" si="12"/>
        <v>Yes</v>
      </c>
      <c r="H412">
        <f t="shared" si="13"/>
        <v>70</v>
      </c>
      <c r="I412" s="1">
        <f>IF(COUNTIF('Transaction Data'!A:A,A412)&gt;5,20,0)+IF(COUNTIFS('Transaction Data'!A:A,A412,'Transaction Data'!G:G,"Yes")&gt;2,30,0)</f>
        <v>0</v>
      </c>
      <c r="J412">
        <f>'Client Master Data'!I412+'Client Master Data'!J412+H412+I412</f>
        <v>140</v>
      </c>
    </row>
    <row r="413" spans="1:10">
      <c r="A413">
        <v>1343</v>
      </c>
      <c r="B413" t="s">
        <v>1163</v>
      </c>
      <c r="C413" t="s">
        <v>703</v>
      </c>
      <c r="D413">
        <v>56560</v>
      </c>
      <c r="E413" t="s">
        <v>588</v>
      </c>
      <c r="F413" t="s">
        <v>39</v>
      </c>
      <c r="G413" t="str">
        <f t="shared" si="12"/>
        <v>No</v>
      </c>
      <c r="H413">
        <f t="shared" si="13"/>
        <v>0</v>
      </c>
      <c r="I413" s="1">
        <f>IF(COUNTIF('Transaction Data'!A:A,A413)&gt;5,20,0)+IF(COUNTIFS('Transaction Data'!A:A,A413,'Transaction Data'!G:G,"Yes")&gt;2,30,0)</f>
        <v>0</v>
      </c>
      <c r="J413">
        <f>'Client Master Data'!I413+'Client Master Data'!J413+H413+I413</f>
        <v>70</v>
      </c>
    </row>
    <row r="414" spans="1:10">
      <c r="A414">
        <v>1397</v>
      </c>
      <c r="B414" t="s">
        <v>1164</v>
      </c>
      <c r="C414" t="s">
        <v>815</v>
      </c>
      <c r="D414">
        <v>35110</v>
      </c>
      <c r="E414" t="s">
        <v>593</v>
      </c>
      <c r="F414" t="s">
        <v>17</v>
      </c>
      <c r="G414" t="str">
        <f t="shared" si="12"/>
        <v>Yes</v>
      </c>
      <c r="H414">
        <f t="shared" si="13"/>
        <v>40</v>
      </c>
      <c r="I414" s="1">
        <f>IF(COUNTIF('Transaction Data'!A:A,A414)&gt;5,20,0)+IF(COUNTIFS('Transaction Data'!A:A,A414,'Transaction Data'!G:G,"Yes")&gt;2,30,0)</f>
        <v>30</v>
      </c>
      <c r="J414">
        <f>'Client Master Data'!I414+'Client Master Data'!J414+H414+I414</f>
        <v>140</v>
      </c>
    </row>
    <row r="415" spans="1:10">
      <c r="A415">
        <v>1464</v>
      </c>
      <c r="B415" t="s">
        <v>1165</v>
      </c>
      <c r="C415" t="s">
        <v>1033</v>
      </c>
      <c r="D415">
        <v>443908</v>
      </c>
      <c r="E415" t="s">
        <v>600</v>
      </c>
      <c r="F415" t="s">
        <v>17</v>
      </c>
      <c r="G415" t="str">
        <f t="shared" si="12"/>
        <v>Yes</v>
      </c>
      <c r="H415">
        <f t="shared" si="13"/>
        <v>70</v>
      </c>
      <c r="I415" s="1">
        <f>IF(COUNTIF('Transaction Data'!A:A,A415)&gt;5,20,0)+IF(COUNTIFS('Transaction Data'!A:A,A415,'Transaction Data'!G:G,"Yes")&gt;2,30,0)</f>
        <v>50</v>
      </c>
      <c r="J415">
        <f>'Client Master Data'!I415+'Client Master Data'!J415+H415+I415</f>
        <v>170</v>
      </c>
    </row>
    <row r="416" spans="1:10">
      <c r="A416">
        <v>1122</v>
      </c>
      <c r="B416" t="s">
        <v>1166</v>
      </c>
      <c r="C416" t="s">
        <v>851</v>
      </c>
      <c r="D416">
        <v>311794</v>
      </c>
      <c r="E416" t="s">
        <v>588</v>
      </c>
      <c r="F416" t="s">
        <v>11</v>
      </c>
      <c r="G416" t="str">
        <f t="shared" si="12"/>
        <v>Yes</v>
      </c>
      <c r="H416">
        <f t="shared" si="13"/>
        <v>70</v>
      </c>
      <c r="I416" s="1">
        <f>IF(COUNTIF('Transaction Data'!A:A,A416)&gt;5,20,0)+IF(COUNTIFS('Transaction Data'!A:A,A416,'Transaction Data'!G:G,"Yes")&gt;2,30,0)</f>
        <v>0</v>
      </c>
      <c r="J416">
        <f>'Client Master Data'!I416+'Client Master Data'!J416+H416+I416</f>
        <v>110</v>
      </c>
    </row>
    <row r="417" spans="1:10">
      <c r="A417">
        <v>1328</v>
      </c>
      <c r="B417" t="s">
        <v>1167</v>
      </c>
      <c r="C417" t="s">
        <v>839</v>
      </c>
      <c r="D417">
        <v>467233</v>
      </c>
      <c r="E417" t="s">
        <v>600</v>
      </c>
      <c r="F417" t="s">
        <v>11</v>
      </c>
      <c r="G417" t="str">
        <f t="shared" si="12"/>
        <v>Yes</v>
      </c>
      <c r="H417">
        <f t="shared" si="13"/>
        <v>70</v>
      </c>
      <c r="I417" s="1">
        <f>IF(COUNTIF('Transaction Data'!A:A,A417)&gt;5,20,0)+IF(COUNTIFS('Transaction Data'!A:A,A417,'Transaction Data'!G:G,"Yes")&gt;2,30,0)</f>
        <v>0</v>
      </c>
      <c r="J417">
        <f>'Client Master Data'!I417+'Client Master Data'!J417+H417+I417</f>
        <v>120</v>
      </c>
    </row>
    <row r="418" spans="1:10">
      <c r="A418">
        <v>1396</v>
      </c>
      <c r="B418" t="s">
        <v>1168</v>
      </c>
      <c r="C418" t="s">
        <v>866</v>
      </c>
      <c r="D418">
        <v>368006</v>
      </c>
      <c r="E418" t="s">
        <v>600</v>
      </c>
      <c r="F418" t="s">
        <v>27</v>
      </c>
      <c r="G418" t="str">
        <f t="shared" si="12"/>
        <v>Yes</v>
      </c>
      <c r="H418">
        <f t="shared" si="13"/>
        <v>70</v>
      </c>
      <c r="I418" s="1">
        <f>IF(COUNTIF('Transaction Data'!A:A,A418)&gt;5,20,0)+IF(COUNTIFS('Transaction Data'!A:A,A418,'Transaction Data'!G:G,"Yes")&gt;2,30,0)</f>
        <v>30</v>
      </c>
      <c r="J418">
        <f>'Client Master Data'!I418+'Client Master Data'!J418+H418+I418</f>
        <v>140</v>
      </c>
    </row>
    <row r="419" spans="1:10">
      <c r="A419">
        <v>1296</v>
      </c>
      <c r="B419" t="s">
        <v>1169</v>
      </c>
      <c r="C419" t="s">
        <v>671</v>
      </c>
      <c r="D419">
        <v>155565</v>
      </c>
      <c r="E419" t="s">
        <v>593</v>
      </c>
      <c r="F419" t="s">
        <v>39</v>
      </c>
      <c r="G419" t="str">
        <f t="shared" si="12"/>
        <v>Yes</v>
      </c>
      <c r="H419">
        <f t="shared" si="13"/>
        <v>70</v>
      </c>
      <c r="I419" s="1">
        <f>IF(COUNTIF('Transaction Data'!A:A,A419)&gt;5,20,0)+IF(COUNTIFS('Transaction Data'!A:A,A419,'Transaction Data'!G:G,"Yes")&gt;2,30,0)</f>
        <v>0</v>
      </c>
      <c r="J419">
        <f>'Client Master Data'!I419+'Client Master Data'!J419+H419+I419</f>
        <v>140</v>
      </c>
    </row>
    <row r="420" spans="1:10">
      <c r="A420">
        <v>1213</v>
      </c>
      <c r="B420" t="s">
        <v>1170</v>
      </c>
      <c r="C420" t="s">
        <v>756</v>
      </c>
      <c r="D420">
        <v>160636</v>
      </c>
      <c r="E420" t="s">
        <v>600</v>
      </c>
      <c r="F420" t="s">
        <v>27</v>
      </c>
      <c r="G420" t="str">
        <f t="shared" si="12"/>
        <v>Yes</v>
      </c>
      <c r="H420">
        <f t="shared" si="13"/>
        <v>70</v>
      </c>
      <c r="I420" s="1">
        <f>IF(COUNTIF('Transaction Data'!A:A,A420)&gt;5,20,0)+IF(COUNTIFS('Transaction Data'!A:A,A420,'Transaction Data'!G:G,"Yes")&gt;2,30,0)</f>
        <v>50</v>
      </c>
      <c r="J420">
        <f>'Client Master Data'!I420+'Client Master Data'!J420+H420+I420</f>
        <v>140</v>
      </c>
    </row>
    <row r="421" spans="1:10">
      <c r="A421">
        <v>1323</v>
      </c>
      <c r="B421" t="s">
        <v>1171</v>
      </c>
      <c r="C421" t="s">
        <v>826</v>
      </c>
      <c r="D421">
        <v>220343</v>
      </c>
      <c r="E421" t="s">
        <v>588</v>
      </c>
      <c r="F421" t="s">
        <v>54</v>
      </c>
      <c r="G421" t="str">
        <f t="shared" si="12"/>
        <v>Yes</v>
      </c>
      <c r="H421">
        <f t="shared" si="13"/>
        <v>70</v>
      </c>
      <c r="I421" s="1">
        <f>IF(COUNTIF('Transaction Data'!A:A,A421)&gt;5,20,0)+IF(COUNTIFS('Transaction Data'!A:A,A421,'Transaction Data'!G:G,"Yes")&gt;2,30,0)</f>
        <v>0</v>
      </c>
      <c r="J421">
        <f>'Client Master Data'!I421+'Client Master Data'!J421+H421+I421</f>
        <v>110</v>
      </c>
    </row>
    <row r="422" spans="1:10">
      <c r="A422">
        <v>1495</v>
      </c>
      <c r="B422" t="s">
        <v>1172</v>
      </c>
      <c r="C422" t="s">
        <v>973</v>
      </c>
      <c r="D422">
        <v>132248</v>
      </c>
      <c r="E422" t="s">
        <v>593</v>
      </c>
      <c r="F422" t="s">
        <v>27</v>
      </c>
      <c r="G422" t="str">
        <f t="shared" si="12"/>
        <v>Yes</v>
      </c>
      <c r="H422">
        <f t="shared" si="13"/>
        <v>70</v>
      </c>
      <c r="I422" s="1">
        <f>IF(COUNTIF('Transaction Data'!A:A,A422)&gt;5,20,0)+IF(COUNTIFS('Transaction Data'!A:A,A422,'Transaction Data'!G:G,"Yes")&gt;2,30,0)</f>
        <v>30</v>
      </c>
      <c r="J422">
        <f>'Client Master Data'!I422+'Client Master Data'!J422+H422+I422</f>
        <v>130</v>
      </c>
    </row>
    <row r="423" spans="1:10">
      <c r="A423">
        <v>1482</v>
      </c>
      <c r="B423" t="s">
        <v>1173</v>
      </c>
      <c r="C423" t="s">
        <v>861</v>
      </c>
      <c r="D423">
        <v>293097</v>
      </c>
      <c r="E423" t="s">
        <v>588</v>
      </c>
      <c r="F423" t="s">
        <v>11</v>
      </c>
      <c r="G423" t="str">
        <f t="shared" si="12"/>
        <v>Yes</v>
      </c>
      <c r="H423">
        <f t="shared" si="13"/>
        <v>70</v>
      </c>
      <c r="I423" s="1">
        <f>IF(COUNTIF('Transaction Data'!A:A,A423)&gt;5,20,0)+IF(COUNTIFS('Transaction Data'!A:A,A423,'Transaction Data'!G:G,"Yes")&gt;2,30,0)</f>
        <v>30</v>
      </c>
      <c r="J423">
        <f>'Client Master Data'!I423+'Client Master Data'!J423+H423+I423</f>
        <v>130</v>
      </c>
    </row>
    <row r="424" spans="1:10">
      <c r="A424">
        <v>1487</v>
      </c>
      <c r="B424" t="s">
        <v>1174</v>
      </c>
      <c r="C424" t="s">
        <v>870</v>
      </c>
      <c r="D424">
        <v>235451</v>
      </c>
      <c r="E424" t="s">
        <v>593</v>
      </c>
      <c r="F424" t="s">
        <v>54</v>
      </c>
      <c r="G424" t="str">
        <f t="shared" si="12"/>
        <v>Yes</v>
      </c>
      <c r="H424">
        <f t="shared" si="13"/>
        <v>70</v>
      </c>
      <c r="I424" s="1">
        <f>IF(COUNTIF('Transaction Data'!A:A,A424)&gt;5,20,0)+IF(COUNTIFS('Transaction Data'!A:A,A424,'Transaction Data'!G:G,"Yes")&gt;2,30,0)</f>
        <v>0</v>
      </c>
      <c r="J424">
        <f>'Client Master Data'!I424+'Client Master Data'!J424+H424+I424</f>
        <v>120</v>
      </c>
    </row>
    <row r="425" spans="1:10">
      <c r="A425">
        <v>1110</v>
      </c>
      <c r="B425" t="s">
        <v>1175</v>
      </c>
      <c r="C425" t="s">
        <v>964</v>
      </c>
      <c r="D425">
        <v>66666</v>
      </c>
      <c r="E425" t="s">
        <v>593</v>
      </c>
      <c r="F425" t="s">
        <v>27</v>
      </c>
      <c r="G425" t="str">
        <f t="shared" si="12"/>
        <v>No</v>
      </c>
      <c r="H425">
        <f t="shared" si="13"/>
        <v>0</v>
      </c>
      <c r="I425" s="1">
        <f>IF(COUNTIF('Transaction Data'!A:A,A425)&gt;5,20,0)+IF(COUNTIFS('Transaction Data'!A:A,A425,'Transaction Data'!G:G,"Yes")&gt;2,30,0)</f>
        <v>0</v>
      </c>
      <c r="J425">
        <f>'Client Master Data'!I425+'Client Master Data'!J425+H425+I425</f>
        <v>30</v>
      </c>
    </row>
    <row r="426" spans="1:10">
      <c r="A426">
        <v>1365</v>
      </c>
      <c r="B426" t="s">
        <v>1176</v>
      </c>
      <c r="C426" t="s">
        <v>842</v>
      </c>
      <c r="D426">
        <v>139890</v>
      </c>
      <c r="E426" t="s">
        <v>593</v>
      </c>
      <c r="F426" t="s">
        <v>39</v>
      </c>
      <c r="G426" t="str">
        <f t="shared" si="12"/>
        <v>Yes</v>
      </c>
      <c r="H426">
        <f t="shared" si="13"/>
        <v>70</v>
      </c>
      <c r="I426" s="1">
        <f>IF(COUNTIF('Transaction Data'!A:A,A426)&gt;5,20,0)+IF(COUNTIFS('Transaction Data'!A:A,A426,'Transaction Data'!G:G,"Yes")&gt;2,30,0)</f>
        <v>0</v>
      </c>
      <c r="J426">
        <f>'Client Master Data'!I426+'Client Master Data'!J426+H426+I426</f>
        <v>100</v>
      </c>
    </row>
    <row r="427" spans="1:10">
      <c r="A427">
        <v>1019</v>
      </c>
      <c r="B427" t="s">
        <v>1177</v>
      </c>
      <c r="C427" t="s">
        <v>1036</v>
      </c>
      <c r="D427">
        <v>310265</v>
      </c>
      <c r="E427" t="s">
        <v>600</v>
      </c>
      <c r="F427" t="s">
        <v>17</v>
      </c>
      <c r="G427" t="str">
        <f t="shared" si="12"/>
        <v>Yes</v>
      </c>
      <c r="H427">
        <f t="shared" si="13"/>
        <v>70</v>
      </c>
      <c r="I427" s="1">
        <f>IF(COUNTIF('Transaction Data'!A:A,A427)&gt;5,20,0)+IF(COUNTIFS('Transaction Data'!A:A,A427,'Transaction Data'!G:G,"Yes")&gt;2,30,0)</f>
        <v>0</v>
      </c>
      <c r="J427">
        <f>'Client Master Data'!I427+'Client Master Data'!J427+H427+I427</f>
        <v>110</v>
      </c>
    </row>
    <row r="428" spans="1:10">
      <c r="A428">
        <v>1342</v>
      </c>
      <c r="B428" t="s">
        <v>1178</v>
      </c>
      <c r="C428" t="s">
        <v>1179</v>
      </c>
      <c r="D428">
        <v>158920</v>
      </c>
      <c r="E428" t="s">
        <v>588</v>
      </c>
      <c r="F428" t="s">
        <v>54</v>
      </c>
      <c r="G428" t="str">
        <f t="shared" si="12"/>
        <v>Yes</v>
      </c>
      <c r="H428">
        <f t="shared" si="13"/>
        <v>70</v>
      </c>
      <c r="I428" s="1">
        <f>IF(COUNTIF('Transaction Data'!A:A,A428)&gt;5,20,0)+IF(COUNTIFS('Transaction Data'!A:A,A428,'Transaction Data'!G:G,"Yes")&gt;2,30,0)</f>
        <v>0</v>
      </c>
      <c r="J428">
        <f>'Client Master Data'!I428+'Client Master Data'!J428+H428+I428</f>
        <v>140</v>
      </c>
    </row>
    <row r="429" spans="1:10">
      <c r="A429">
        <v>1132</v>
      </c>
      <c r="B429" t="s">
        <v>1180</v>
      </c>
      <c r="C429" t="s">
        <v>792</v>
      </c>
      <c r="D429">
        <v>74531</v>
      </c>
      <c r="E429" t="s">
        <v>593</v>
      </c>
      <c r="F429" t="s">
        <v>23</v>
      </c>
      <c r="G429" t="str">
        <f t="shared" si="12"/>
        <v>No</v>
      </c>
      <c r="H429">
        <f t="shared" si="13"/>
        <v>0</v>
      </c>
      <c r="I429" s="1">
        <f>IF(COUNTIF('Transaction Data'!A:A,A429)&gt;5,20,0)+IF(COUNTIFS('Transaction Data'!A:A,A429,'Transaction Data'!G:G,"Yes")&gt;2,30,0)</f>
        <v>0</v>
      </c>
      <c r="J429">
        <f>'Client Master Data'!I429+'Client Master Data'!J429+H429+I429</f>
        <v>60</v>
      </c>
    </row>
    <row r="430" spans="1:10">
      <c r="A430">
        <v>1016</v>
      </c>
      <c r="B430" t="s">
        <v>1181</v>
      </c>
      <c r="C430" t="s">
        <v>1182</v>
      </c>
      <c r="D430">
        <v>8022</v>
      </c>
      <c r="E430" t="s">
        <v>593</v>
      </c>
      <c r="F430" t="s">
        <v>11</v>
      </c>
      <c r="G430" t="str">
        <f t="shared" si="12"/>
        <v>No</v>
      </c>
      <c r="H430">
        <f t="shared" si="13"/>
        <v>0</v>
      </c>
      <c r="I430" s="1">
        <f>IF(COUNTIF('Transaction Data'!A:A,A430)&gt;5,20,0)+IF(COUNTIFS('Transaction Data'!A:A,A430,'Transaction Data'!G:G,"Yes")&gt;2,30,0)</f>
        <v>0</v>
      </c>
      <c r="J430">
        <f>'Client Master Data'!I430+'Client Master Data'!J430+H430+I430</f>
        <v>70</v>
      </c>
    </row>
    <row r="431" spans="1:10">
      <c r="A431">
        <v>1262</v>
      </c>
      <c r="B431" t="s">
        <v>1183</v>
      </c>
      <c r="C431" t="s">
        <v>751</v>
      </c>
      <c r="D431">
        <v>379268</v>
      </c>
      <c r="E431" t="s">
        <v>600</v>
      </c>
      <c r="F431" t="s">
        <v>17</v>
      </c>
      <c r="G431" t="str">
        <f t="shared" si="12"/>
        <v>Yes</v>
      </c>
      <c r="H431">
        <f t="shared" si="13"/>
        <v>70</v>
      </c>
      <c r="I431" s="1">
        <f>IF(COUNTIF('Transaction Data'!A:A,A431)&gt;5,20,0)+IF(COUNTIFS('Transaction Data'!A:A,A431,'Transaction Data'!G:G,"Yes")&gt;2,30,0)</f>
        <v>30</v>
      </c>
      <c r="J431">
        <f>'Client Master Data'!I431+'Client Master Data'!J431+H431+I431</f>
        <v>170</v>
      </c>
    </row>
    <row r="432" spans="1:10">
      <c r="A432">
        <v>1042</v>
      </c>
      <c r="B432" t="s">
        <v>1184</v>
      </c>
      <c r="C432" t="s">
        <v>842</v>
      </c>
      <c r="D432">
        <v>495424</v>
      </c>
      <c r="E432" t="s">
        <v>593</v>
      </c>
      <c r="F432" t="s">
        <v>54</v>
      </c>
      <c r="G432" t="str">
        <f t="shared" si="12"/>
        <v>Yes</v>
      </c>
      <c r="H432">
        <f t="shared" si="13"/>
        <v>70</v>
      </c>
      <c r="I432" s="1">
        <f>IF(COUNTIF('Transaction Data'!A:A,A432)&gt;5,20,0)+IF(COUNTIFS('Transaction Data'!A:A,A432,'Transaction Data'!G:G,"Yes")&gt;2,30,0)</f>
        <v>30</v>
      </c>
      <c r="J432">
        <f>'Client Master Data'!I432+'Client Master Data'!J432+H432+I432</f>
        <v>130</v>
      </c>
    </row>
    <row r="433" spans="1:10">
      <c r="A433">
        <v>1056</v>
      </c>
      <c r="B433" t="s">
        <v>1185</v>
      </c>
      <c r="C433" t="s">
        <v>902</v>
      </c>
      <c r="D433">
        <v>153989</v>
      </c>
      <c r="E433" t="s">
        <v>600</v>
      </c>
      <c r="F433" t="s">
        <v>23</v>
      </c>
      <c r="G433" t="str">
        <f t="shared" si="12"/>
        <v>Yes</v>
      </c>
      <c r="H433">
        <f t="shared" si="13"/>
        <v>70</v>
      </c>
      <c r="I433" s="1">
        <f>IF(COUNTIF('Transaction Data'!A:A,A433)&gt;5,20,0)+IF(COUNTIFS('Transaction Data'!A:A,A433,'Transaction Data'!G:G,"Yes")&gt;2,30,0)</f>
        <v>0</v>
      </c>
      <c r="J433">
        <f>'Client Master Data'!I433+'Client Master Data'!J433+H433+I433</f>
        <v>90</v>
      </c>
    </row>
    <row r="434" spans="1:10">
      <c r="A434">
        <v>1511</v>
      </c>
      <c r="B434" t="s">
        <v>1186</v>
      </c>
      <c r="C434" t="s">
        <v>692</v>
      </c>
      <c r="D434">
        <v>107741</v>
      </c>
      <c r="E434" t="s">
        <v>600</v>
      </c>
      <c r="F434" t="s">
        <v>11</v>
      </c>
      <c r="G434" t="str">
        <f t="shared" si="12"/>
        <v>Yes</v>
      </c>
      <c r="H434">
        <f t="shared" si="13"/>
        <v>70</v>
      </c>
      <c r="I434" s="1">
        <f>IF(COUNTIF('Transaction Data'!A:A,A434)&gt;5,20,0)+IF(COUNTIFS('Transaction Data'!A:A,A434,'Transaction Data'!G:G,"Yes")&gt;2,30,0)</f>
        <v>0</v>
      </c>
      <c r="J434">
        <f>'Client Master Data'!I434+'Client Master Data'!J434+H434+I434</f>
        <v>120</v>
      </c>
    </row>
    <row r="435" spans="1:10">
      <c r="A435">
        <v>1213</v>
      </c>
      <c r="B435" t="s">
        <v>1187</v>
      </c>
      <c r="C435" t="s">
        <v>758</v>
      </c>
      <c r="D435">
        <v>156801</v>
      </c>
      <c r="E435" t="s">
        <v>588</v>
      </c>
      <c r="F435" t="s">
        <v>39</v>
      </c>
      <c r="G435" t="str">
        <f t="shared" si="12"/>
        <v>Yes</v>
      </c>
      <c r="H435">
        <f t="shared" si="13"/>
        <v>70</v>
      </c>
      <c r="I435" s="1">
        <f>IF(COUNTIF('Transaction Data'!A:A,A435)&gt;5,20,0)+IF(COUNTIFS('Transaction Data'!A:A,A435,'Transaction Data'!G:G,"Yes")&gt;2,30,0)</f>
        <v>50</v>
      </c>
      <c r="J435">
        <f>'Client Master Data'!I435+'Client Master Data'!J435+H435+I435</f>
        <v>170</v>
      </c>
    </row>
    <row r="436" spans="1:10">
      <c r="A436">
        <v>1283</v>
      </c>
      <c r="B436" t="s">
        <v>1188</v>
      </c>
      <c r="C436" t="s">
        <v>717</v>
      </c>
      <c r="D436">
        <v>20021</v>
      </c>
      <c r="E436" t="s">
        <v>588</v>
      </c>
      <c r="F436" t="s">
        <v>39</v>
      </c>
      <c r="G436" t="str">
        <f t="shared" si="12"/>
        <v>No</v>
      </c>
      <c r="H436">
        <f t="shared" si="13"/>
        <v>0</v>
      </c>
      <c r="I436" s="1">
        <f>IF(COUNTIF('Transaction Data'!A:A,A436)&gt;5,20,0)+IF(COUNTIFS('Transaction Data'!A:A,A436,'Transaction Data'!G:G,"Yes")&gt;2,30,0)</f>
        <v>0</v>
      </c>
      <c r="J436">
        <f>'Client Master Data'!I436+'Client Master Data'!J436+H436+I436</f>
        <v>70</v>
      </c>
    </row>
    <row r="437" spans="1:10">
      <c r="A437">
        <v>1304</v>
      </c>
      <c r="B437" t="s">
        <v>1189</v>
      </c>
      <c r="C437" t="s">
        <v>886</v>
      </c>
      <c r="D437">
        <v>478079</v>
      </c>
      <c r="E437" t="s">
        <v>600</v>
      </c>
      <c r="F437" t="s">
        <v>11</v>
      </c>
      <c r="G437" t="str">
        <f t="shared" si="12"/>
        <v>Yes</v>
      </c>
      <c r="H437">
        <f t="shared" si="13"/>
        <v>70</v>
      </c>
      <c r="I437" s="1">
        <f>IF(COUNTIF('Transaction Data'!A:A,A437)&gt;5,20,0)+IF(COUNTIFS('Transaction Data'!A:A,A437,'Transaction Data'!G:G,"Yes")&gt;2,30,0)</f>
        <v>0</v>
      </c>
      <c r="J437">
        <f>'Client Master Data'!I437+'Client Master Data'!J437+H437+I437</f>
        <v>90</v>
      </c>
    </row>
    <row r="438" spans="1:10">
      <c r="A438">
        <v>1066</v>
      </c>
      <c r="B438" t="s">
        <v>1190</v>
      </c>
      <c r="C438" t="s">
        <v>845</v>
      </c>
      <c r="D438">
        <v>110070</v>
      </c>
      <c r="E438" t="s">
        <v>600</v>
      </c>
      <c r="F438" t="s">
        <v>54</v>
      </c>
      <c r="G438" t="str">
        <f t="shared" si="12"/>
        <v>Yes</v>
      </c>
      <c r="H438">
        <f t="shared" si="13"/>
        <v>70</v>
      </c>
      <c r="I438" s="1">
        <f>IF(COUNTIF('Transaction Data'!A:A,A438)&gt;5,20,0)+IF(COUNTIFS('Transaction Data'!A:A,A438,'Transaction Data'!G:G,"Yes")&gt;2,30,0)</f>
        <v>0</v>
      </c>
      <c r="J438">
        <f>'Client Master Data'!I438+'Client Master Data'!J438+H438+I438</f>
        <v>120</v>
      </c>
    </row>
    <row r="439" spans="1:10">
      <c r="A439">
        <v>1063</v>
      </c>
      <c r="B439" t="s">
        <v>1191</v>
      </c>
      <c r="C439" t="s">
        <v>713</v>
      </c>
      <c r="D439">
        <v>492006</v>
      </c>
      <c r="E439" t="s">
        <v>588</v>
      </c>
      <c r="F439" t="s">
        <v>39</v>
      </c>
      <c r="G439" t="str">
        <f t="shared" si="12"/>
        <v>Yes</v>
      </c>
      <c r="H439">
        <f t="shared" si="13"/>
        <v>70</v>
      </c>
      <c r="I439" s="1">
        <f>IF(COUNTIF('Transaction Data'!A:A,A439)&gt;5,20,0)+IF(COUNTIFS('Transaction Data'!A:A,A439,'Transaction Data'!G:G,"Yes")&gt;2,30,0)</f>
        <v>0</v>
      </c>
      <c r="J439">
        <f>'Client Master Data'!I439+'Client Master Data'!J439+H439+I439</f>
        <v>100</v>
      </c>
    </row>
    <row r="440" spans="1:10">
      <c r="A440">
        <v>1098</v>
      </c>
      <c r="B440" t="s">
        <v>1192</v>
      </c>
      <c r="C440" t="s">
        <v>656</v>
      </c>
      <c r="D440">
        <v>470256</v>
      </c>
      <c r="E440" t="s">
        <v>588</v>
      </c>
      <c r="F440" t="s">
        <v>23</v>
      </c>
      <c r="G440" t="str">
        <f t="shared" si="12"/>
        <v>Yes</v>
      </c>
      <c r="H440">
        <f t="shared" si="13"/>
        <v>70</v>
      </c>
      <c r="I440" s="1">
        <f>IF(COUNTIF('Transaction Data'!A:A,A440)&gt;5,20,0)+IF(COUNTIFS('Transaction Data'!A:A,A440,'Transaction Data'!G:G,"Yes")&gt;2,30,0)</f>
        <v>30</v>
      </c>
      <c r="J440">
        <f>'Client Master Data'!I440+'Client Master Data'!J440+H440+I440</f>
        <v>130</v>
      </c>
    </row>
    <row r="441" spans="1:10">
      <c r="A441">
        <v>1077</v>
      </c>
      <c r="B441" t="s">
        <v>1193</v>
      </c>
      <c r="C441" t="s">
        <v>1194</v>
      </c>
      <c r="D441">
        <v>466198</v>
      </c>
      <c r="E441" t="s">
        <v>593</v>
      </c>
      <c r="F441" t="s">
        <v>17</v>
      </c>
      <c r="G441" t="str">
        <f t="shared" si="12"/>
        <v>Yes</v>
      </c>
      <c r="H441">
        <f t="shared" si="13"/>
        <v>70</v>
      </c>
      <c r="I441" s="1">
        <f>IF(COUNTIF('Transaction Data'!A:A,A441)&gt;5,20,0)+IF(COUNTIFS('Transaction Data'!A:A,A441,'Transaction Data'!G:G,"Yes")&gt;2,30,0)</f>
        <v>0</v>
      </c>
      <c r="J441">
        <f>'Client Master Data'!I441+'Client Master Data'!J441+H441+I441</f>
        <v>120</v>
      </c>
    </row>
    <row r="442" spans="1:10">
      <c r="A442">
        <v>1409</v>
      </c>
      <c r="B442" t="s">
        <v>1195</v>
      </c>
      <c r="C442" t="s">
        <v>811</v>
      </c>
      <c r="D442">
        <v>175721</v>
      </c>
      <c r="E442" t="s">
        <v>588</v>
      </c>
      <c r="F442" t="s">
        <v>11</v>
      </c>
      <c r="G442" t="str">
        <f t="shared" si="12"/>
        <v>Yes</v>
      </c>
      <c r="H442">
        <f t="shared" si="13"/>
        <v>70</v>
      </c>
      <c r="I442" s="1">
        <f>IF(COUNTIF('Transaction Data'!A:A,A442)&gt;5,20,0)+IF(COUNTIFS('Transaction Data'!A:A,A442,'Transaction Data'!G:G,"Yes")&gt;2,30,0)</f>
        <v>30</v>
      </c>
      <c r="J442">
        <f>'Client Master Data'!I442+'Client Master Data'!J442+H442+I442</f>
        <v>170</v>
      </c>
    </row>
    <row r="443" spans="1:10">
      <c r="A443">
        <v>1252</v>
      </c>
      <c r="B443" t="s">
        <v>1196</v>
      </c>
      <c r="C443" t="s">
        <v>703</v>
      </c>
      <c r="D443">
        <v>243308</v>
      </c>
      <c r="E443" t="s">
        <v>593</v>
      </c>
      <c r="F443" t="s">
        <v>23</v>
      </c>
      <c r="G443" t="str">
        <f t="shared" si="12"/>
        <v>Yes</v>
      </c>
      <c r="H443">
        <f t="shared" si="13"/>
        <v>70</v>
      </c>
      <c r="I443" s="1">
        <f>IF(COUNTIF('Transaction Data'!A:A,A443)&gt;5,20,0)+IF(COUNTIFS('Transaction Data'!A:A,A443,'Transaction Data'!G:G,"Yes")&gt;2,30,0)</f>
        <v>0</v>
      </c>
      <c r="J443">
        <f>'Client Master Data'!I443+'Client Master Data'!J443+H443+I443</f>
        <v>110</v>
      </c>
    </row>
    <row r="444" spans="1:10">
      <c r="A444">
        <v>1434</v>
      </c>
      <c r="B444" t="s">
        <v>1197</v>
      </c>
      <c r="C444" t="s">
        <v>967</v>
      </c>
      <c r="D444">
        <v>272151</v>
      </c>
      <c r="E444" t="s">
        <v>600</v>
      </c>
      <c r="F444" t="s">
        <v>17</v>
      </c>
      <c r="G444" t="str">
        <f t="shared" si="12"/>
        <v>Yes</v>
      </c>
      <c r="H444">
        <f t="shared" si="13"/>
        <v>70</v>
      </c>
      <c r="I444" s="1">
        <f>IF(COUNTIF('Transaction Data'!A:A,A444)&gt;5,20,0)+IF(COUNTIFS('Transaction Data'!A:A,A444,'Transaction Data'!G:G,"Yes")&gt;2,30,0)</f>
        <v>30</v>
      </c>
      <c r="J444">
        <f>'Client Master Data'!I444+'Client Master Data'!J444+H444+I444</f>
        <v>160</v>
      </c>
    </row>
    <row r="445" spans="1:10">
      <c r="A445">
        <v>1396</v>
      </c>
      <c r="B445" t="s">
        <v>1198</v>
      </c>
      <c r="C445" t="s">
        <v>678</v>
      </c>
      <c r="D445">
        <v>311904</v>
      </c>
      <c r="E445" t="s">
        <v>588</v>
      </c>
      <c r="F445" t="s">
        <v>54</v>
      </c>
      <c r="G445" t="str">
        <f t="shared" si="12"/>
        <v>Yes</v>
      </c>
      <c r="H445">
        <f t="shared" si="13"/>
        <v>70</v>
      </c>
      <c r="I445" s="1">
        <f>IF(COUNTIF('Transaction Data'!A:A,A445)&gt;5,20,0)+IF(COUNTIFS('Transaction Data'!A:A,A445,'Transaction Data'!G:G,"Yes")&gt;2,30,0)</f>
        <v>30</v>
      </c>
      <c r="J445">
        <f>'Client Master Data'!I445+'Client Master Data'!J445+H445+I445</f>
        <v>130</v>
      </c>
    </row>
    <row r="446" spans="1:10">
      <c r="A446">
        <v>1387</v>
      </c>
      <c r="B446" t="s">
        <v>1199</v>
      </c>
      <c r="C446" t="s">
        <v>754</v>
      </c>
      <c r="D446">
        <v>424591</v>
      </c>
      <c r="E446" t="s">
        <v>593</v>
      </c>
      <c r="F446" t="s">
        <v>11</v>
      </c>
      <c r="G446" t="str">
        <f t="shared" si="12"/>
        <v>Yes</v>
      </c>
      <c r="H446">
        <f t="shared" si="13"/>
        <v>70</v>
      </c>
      <c r="I446" s="1">
        <f>IF(COUNTIF('Transaction Data'!A:A,A446)&gt;5,20,0)+IF(COUNTIFS('Transaction Data'!A:A,A446,'Transaction Data'!G:G,"Yes")&gt;2,30,0)</f>
        <v>30</v>
      </c>
      <c r="J446">
        <f>'Client Master Data'!I446+'Client Master Data'!J446+H446+I446</f>
        <v>150</v>
      </c>
    </row>
    <row r="447" spans="1:10">
      <c r="A447">
        <v>1160</v>
      </c>
      <c r="B447" t="s">
        <v>1200</v>
      </c>
      <c r="C447" t="s">
        <v>1140</v>
      </c>
      <c r="D447">
        <v>142912</v>
      </c>
      <c r="E447" t="s">
        <v>600</v>
      </c>
      <c r="F447" t="s">
        <v>39</v>
      </c>
      <c r="G447" t="str">
        <f t="shared" si="12"/>
        <v>Yes</v>
      </c>
      <c r="H447">
        <f t="shared" si="13"/>
        <v>70</v>
      </c>
      <c r="I447" s="1">
        <f>IF(COUNTIF('Transaction Data'!A:A,A447)&gt;5,20,0)+IF(COUNTIFS('Transaction Data'!A:A,A447,'Transaction Data'!G:G,"Yes")&gt;2,30,0)</f>
        <v>0</v>
      </c>
      <c r="J447">
        <f>'Client Master Data'!I447+'Client Master Data'!J447+H447+I447</f>
        <v>120</v>
      </c>
    </row>
    <row r="448" spans="1:10">
      <c r="A448">
        <v>1220</v>
      </c>
      <c r="B448" t="s">
        <v>1201</v>
      </c>
      <c r="C448" t="s">
        <v>703</v>
      </c>
      <c r="D448">
        <v>50629</v>
      </c>
      <c r="E448" t="s">
        <v>593</v>
      </c>
      <c r="F448" t="s">
        <v>27</v>
      </c>
      <c r="G448" t="str">
        <f t="shared" si="12"/>
        <v>No</v>
      </c>
      <c r="H448">
        <f t="shared" si="13"/>
        <v>0</v>
      </c>
      <c r="I448" s="1">
        <f>IF(COUNTIF('Transaction Data'!A:A,A448)&gt;5,20,0)+IF(COUNTIFS('Transaction Data'!A:A,A448,'Transaction Data'!G:G,"Yes")&gt;2,30,0)</f>
        <v>0</v>
      </c>
      <c r="J448">
        <f>'Client Master Data'!I448+'Client Master Data'!J448+H448+I448</f>
        <v>20</v>
      </c>
    </row>
    <row r="449" spans="1:10">
      <c r="A449">
        <v>1198</v>
      </c>
      <c r="B449" t="s">
        <v>1202</v>
      </c>
      <c r="C449" t="s">
        <v>921</v>
      </c>
      <c r="D449">
        <v>186374</v>
      </c>
      <c r="E449" t="s">
        <v>600</v>
      </c>
      <c r="F449" t="s">
        <v>11</v>
      </c>
      <c r="G449" t="str">
        <f t="shared" si="12"/>
        <v>Yes</v>
      </c>
      <c r="H449">
        <f t="shared" si="13"/>
        <v>70</v>
      </c>
      <c r="I449" s="1">
        <f>IF(COUNTIF('Transaction Data'!A:A,A449)&gt;5,20,0)+IF(COUNTIFS('Transaction Data'!A:A,A449,'Transaction Data'!G:G,"Yes")&gt;2,30,0)</f>
        <v>0</v>
      </c>
      <c r="J449">
        <f>'Client Master Data'!I449+'Client Master Data'!J449+H449+I449</f>
        <v>140</v>
      </c>
    </row>
    <row r="450" spans="1:10">
      <c r="A450">
        <v>1287</v>
      </c>
      <c r="B450" t="s">
        <v>1203</v>
      </c>
      <c r="C450" t="s">
        <v>953</v>
      </c>
      <c r="D450">
        <v>230326</v>
      </c>
      <c r="E450" t="s">
        <v>593</v>
      </c>
      <c r="F450" t="s">
        <v>39</v>
      </c>
      <c r="G450" t="str">
        <f t="shared" ref="G450:G513" si="14">IF(OR(D450&gt;100000,F450="UAE",F450="Nigeria"),"Yes","No")</f>
        <v>Yes</v>
      </c>
      <c r="H450">
        <f t="shared" si="13"/>
        <v>70</v>
      </c>
      <c r="I450" s="1">
        <f>IF(COUNTIF('Transaction Data'!A:A,A450)&gt;5,20,0)+IF(COUNTIFS('Transaction Data'!A:A,A450,'Transaction Data'!G:G,"Yes")&gt;2,30,0)</f>
        <v>0</v>
      </c>
      <c r="J450">
        <f>'Client Master Data'!I450+'Client Master Data'!J450+H450+I450</f>
        <v>120</v>
      </c>
    </row>
    <row r="451" spans="1:10">
      <c r="A451">
        <v>1516</v>
      </c>
      <c r="B451" t="s">
        <v>1204</v>
      </c>
      <c r="C451" t="s">
        <v>606</v>
      </c>
      <c r="D451">
        <v>292130</v>
      </c>
      <c r="E451" t="s">
        <v>600</v>
      </c>
      <c r="F451" t="s">
        <v>39</v>
      </c>
      <c r="G451" t="str">
        <f t="shared" si="14"/>
        <v>Yes</v>
      </c>
      <c r="H451">
        <f t="shared" ref="H451:H514" si="15">IF(D451&gt;100000,30,0)+IF(TRIM(LOWER(G451))="yes",40,0)</f>
        <v>70</v>
      </c>
      <c r="I451" s="1">
        <f>IF(COUNTIF('Transaction Data'!A:A,A451)&gt;5,20,0)+IF(COUNTIFS('Transaction Data'!A:A,A451,'Transaction Data'!G:G,"Yes")&gt;2,30,0)</f>
        <v>30</v>
      </c>
      <c r="J451">
        <f>'Client Master Data'!I451+'Client Master Data'!J451+H451+I451</f>
        <v>130</v>
      </c>
    </row>
    <row r="452" spans="1:10">
      <c r="A452">
        <v>1026</v>
      </c>
      <c r="B452" t="s">
        <v>1205</v>
      </c>
      <c r="C452" t="s">
        <v>811</v>
      </c>
      <c r="D452">
        <v>311829</v>
      </c>
      <c r="E452" t="s">
        <v>600</v>
      </c>
      <c r="F452" t="s">
        <v>54</v>
      </c>
      <c r="G452" t="str">
        <f t="shared" si="14"/>
        <v>Yes</v>
      </c>
      <c r="H452">
        <f t="shared" si="15"/>
        <v>70</v>
      </c>
      <c r="I452" s="1">
        <f>IF(COUNTIF('Transaction Data'!A:A,A452)&gt;5,20,0)+IF(COUNTIFS('Transaction Data'!A:A,A452,'Transaction Data'!G:G,"Yes")&gt;2,30,0)</f>
        <v>30</v>
      </c>
      <c r="J452">
        <f>'Client Master Data'!I452+'Client Master Data'!J452+H452+I452</f>
        <v>170</v>
      </c>
    </row>
    <row r="453" spans="1:10">
      <c r="A453">
        <v>1234</v>
      </c>
      <c r="B453" t="s">
        <v>1206</v>
      </c>
      <c r="C453" t="s">
        <v>1025</v>
      </c>
      <c r="D453">
        <v>433986</v>
      </c>
      <c r="E453" t="s">
        <v>593</v>
      </c>
      <c r="F453" t="s">
        <v>23</v>
      </c>
      <c r="G453" t="str">
        <f t="shared" si="14"/>
        <v>Yes</v>
      </c>
      <c r="H453">
        <f t="shared" si="15"/>
        <v>70</v>
      </c>
      <c r="I453" s="1">
        <f>IF(COUNTIF('Transaction Data'!A:A,A453)&gt;5,20,0)+IF(COUNTIFS('Transaction Data'!A:A,A453,'Transaction Data'!G:G,"Yes")&gt;2,30,0)</f>
        <v>0</v>
      </c>
      <c r="J453">
        <f>'Client Master Data'!I453+'Client Master Data'!J453+H453+I453</f>
        <v>120</v>
      </c>
    </row>
    <row r="454" spans="1:10">
      <c r="A454">
        <v>1291</v>
      </c>
      <c r="B454" t="s">
        <v>1207</v>
      </c>
      <c r="C454" t="s">
        <v>845</v>
      </c>
      <c r="D454">
        <v>273736</v>
      </c>
      <c r="E454" t="s">
        <v>588</v>
      </c>
      <c r="F454" t="s">
        <v>54</v>
      </c>
      <c r="G454" t="str">
        <f t="shared" si="14"/>
        <v>Yes</v>
      </c>
      <c r="H454">
        <f t="shared" si="15"/>
        <v>70</v>
      </c>
      <c r="I454" s="1">
        <f>IF(COUNTIF('Transaction Data'!A:A,A454)&gt;5,20,0)+IF(COUNTIFS('Transaction Data'!A:A,A454,'Transaction Data'!G:G,"Yes")&gt;2,30,0)</f>
        <v>30</v>
      </c>
      <c r="J454">
        <f>'Client Master Data'!I454+'Client Master Data'!J454+H454+I454</f>
        <v>120</v>
      </c>
    </row>
    <row r="455" spans="1:10">
      <c r="A455">
        <v>1470</v>
      </c>
      <c r="B455" t="s">
        <v>1208</v>
      </c>
      <c r="C455" t="s">
        <v>587</v>
      </c>
      <c r="D455">
        <v>76951</v>
      </c>
      <c r="E455" t="s">
        <v>600</v>
      </c>
      <c r="F455" t="s">
        <v>54</v>
      </c>
      <c r="G455" t="str">
        <f t="shared" si="14"/>
        <v>Yes</v>
      </c>
      <c r="H455">
        <f t="shared" si="15"/>
        <v>40</v>
      </c>
      <c r="I455" s="1">
        <f>IF(COUNTIF('Transaction Data'!A:A,A455)&gt;5,20,0)+IF(COUNTIFS('Transaction Data'!A:A,A455,'Transaction Data'!G:G,"Yes")&gt;2,30,0)</f>
        <v>30</v>
      </c>
      <c r="J455">
        <f>'Client Master Data'!I455+'Client Master Data'!J455+H455+I455</f>
        <v>120</v>
      </c>
    </row>
    <row r="456" spans="1:10">
      <c r="A456">
        <v>1457</v>
      </c>
      <c r="B456" t="s">
        <v>1209</v>
      </c>
      <c r="C456" t="s">
        <v>948</v>
      </c>
      <c r="D456">
        <v>164229</v>
      </c>
      <c r="E456" t="s">
        <v>600</v>
      </c>
      <c r="F456" t="s">
        <v>17</v>
      </c>
      <c r="G456" t="str">
        <f t="shared" si="14"/>
        <v>Yes</v>
      </c>
      <c r="H456">
        <f t="shared" si="15"/>
        <v>70</v>
      </c>
      <c r="I456" s="1">
        <f>IF(COUNTIF('Transaction Data'!A:A,A456)&gt;5,20,0)+IF(COUNTIFS('Transaction Data'!A:A,A456,'Transaction Data'!G:G,"Yes")&gt;2,30,0)</f>
        <v>0</v>
      </c>
      <c r="J456">
        <f>'Client Master Data'!I456+'Client Master Data'!J456+H456+I456</f>
        <v>130</v>
      </c>
    </row>
    <row r="457" spans="1:10">
      <c r="A457">
        <v>1411</v>
      </c>
      <c r="B457" t="s">
        <v>1210</v>
      </c>
      <c r="C457" t="s">
        <v>792</v>
      </c>
      <c r="D457">
        <v>174784</v>
      </c>
      <c r="E457" t="s">
        <v>593</v>
      </c>
      <c r="F457" t="s">
        <v>23</v>
      </c>
      <c r="G457" t="str">
        <f t="shared" si="14"/>
        <v>Yes</v>
      </c>
      <c r="H457">
        <f t="shared" si="15"/>
        <v>70</v>
      </c>
      <c r="I457" s="1">
        <f>IF(COUNTIF('Transaction Data'!A:A,A457)&gt;5,20,0)+IF(COUNTIFS('Transaction Data'!A:A,A457,'Transaction Data'!G:G,"Yes")&gt;2,30,0)</f>
        <v>0</v>
      </c>
      <c r="J457">
        <f>'Client Master Data'!I457+'Client Master Data'!J457+H457+I457</f>
        <v>120</v>
      </c>
    </row>
    <row r="458" spans="1:10">
      <c r="A458">
        <v>1181</v>
      </c>
      <c r="B458" t="s">
        <v>1211</v>
      </c>
      <c r="C458" t="s">
        <v>878</v>
      </c>
      <c r="D458">
        <v>267718</v>
      </c>
      <c r="E458" t="s">
        <v>588</v>
      </c>
      <c r="F458" t="s">
        <v>17</v>
      </c>
      <c r="G458" t="str">
        <f t="shared" si="14"/>
        <v>Yes</v>
      </c>
      <c r="H458">
        <f t="shared" si="15"/>
        <v>70</v>
      </c>
      <c r="I458" s="1">
        <f>IF(COUNTIF('Transaction Data'!A:A,A458)&gt;5,20,0)+IF(COUNTIFS('Transaction Data'!A:A,A458,'Transaction Data'!G:G,"Yes")&gt;2,30,0)</f>
        <v>0</v>
      </c>
      <c r="J458">
        <f>'Client Master Data'!I458+'Client Master Data'!J458+H458+I458</f>
        <v>140</v>
      </c>
    </row>
    <row r="459" spans="1:10">
      <c r="A459">
        <v>1242</v>
      </c>
      <c r="B459" t="s">
        <v>1212</v>
      </c>
      <c r="C459" t="s">
        <v>863</v>
      </c>
      <c r="D459">
        <v>43444</v>
      </c>
      <c r="E459" t="s">
        <v>593</v>
      </c>
      <c r="F459" t="s">
        <v>27</v>
      </c>
      <c r="G459" t="str">
        <f t="shared" si="14"/>
        <v>No</v>
      </c>
      <c r="H459">
        <f t="shared" si="15"/>
        <v>0</v>
      </c>
      <c r="I459" s="1">
        <f>IF(COUNTIF('Transaction Data'!A:A,A459)&gt;5,20,0)+IF(COUNTIFS('Transaction Data'!A:A,A459,'Transaction Data'!G:G,"Yes")&gt;2,30,0)</f>
        <v>0</v>
      </c>
      <c r="J459">
        <f>'Client Master Data'!I459+'Client Master Data'!J459+H459+I459</f>
        <v>70</v>
      </c>
    </row>
    <row r="460" spans="1:10">
      <c r="A460">
        <v>1111</v>
      </c>
      <c r="B460" t="s">
        <v>1213</v>
      </c>
      <c r="C460" t="s">
        <v>618</v>
      </c>
      <c r="D460">
        <v>36318</v>
      </c>
      <c r="E460" t="s">
        <v>593</v>
      </c>
      <c r="F460" t="s">
        <v>11</v>
      </c>
      <c r="G460" t="str">
        <f t="shared" si="14"/>
        <v>No</v>
      </c>
      <c r="H460">
        <f t="shared" si="15"/>
        <v>0</v>
      </c>
      <c r="I460" s="1">
        <f>IF(COUNTIF('Transaction Data'!A:A,A460)&gt;5,20,0)+IF(COUNTIFS('Transaction Data'!A:A,A460,'Transaction Data'!G:G,"Yes")&gt;2,30,0)</f>
        <v>0</v>
      </c>
      <c r="J460">
        <f>'Client Master Data'!I460+'Client Master Data'!J460+H460+I460</f>
        <v>30</v>
      </c>
    </row>
    <row r="461" spans="1:10">
      <c r="A461">
        <v>1436</v>
      </c>
      <c r="B461" t="s">
        <v>1214</v>
      </c>
      <c r="C461" t="s">
        <v>713</v>
      </c>
      <c r="D461">
        <v>409322</v>
      </c>
      <c r="E461" t="s">
        <v>588</v>
      </c>
      <c r="F461" t="s">
        <v>11</v>
      </c>
      <c r="G461" t="str">
        <f t="shared" si="14"/>
        <v>Yes</v>
      </c>
      <c r="H461">
        <f t="shared" si="15"/>
        <v>70</v>
      </c>
      <c r="I461" s="1">
        <f>IF(COUNTIF('Transaction Data'!A:A,A461)&gt;5,20,0)+IF(COUNTIFS('Transaction Data'!A:A,A461,'Transaction Data'!G:G,"Yes")&gt;2,30,0)</f>
        <v>0</v>
      </c>
      <c r="J461">
        <f>'Client Master Data'!I461+'Client Master Data'!J461+H461+I461</f>
        <v>100</v>
      </c>
    </row>
    <row r="462" spans="1:10">
      <c r="A462">
        <v>1292</v>
      </c>
      <c r="B462" t="s">
        <v>1215</v>
      </c>
      <c r="C462" t="s">
        <v>606</v>
      </c>
      <c r="D462">
        <v>56533</v>
      </c>
      <c r="E462" t="s">
        <v>593</v>
      </c>
      <c r="F462" t="s">
        <v>23</v>
      </c>
      <c r="G462" t="str">
        <f t="shared" si="14"/>
        <v>No</v>
      </c>
      <c r="H462">
        <f t="shared" si="15"/>
        <v>0</v>
      </c>
      <c r="I462" s="1">
        <f>IF(COUNTIF('Transaction Data'!A:A,A462)&gt;5,20,0)+IF(COUNTIFS('Transaction Data'!A:A,A462,'Transaction Data'!G:G,"Yes")&gt;2,30,0)</f>
        <v>0</v>
      </c>
      <c r="J462">
        <f>'Client Master Data'!I462+'Client Master Data'!J462+H462+I462</f>
        <v>40</v>
      </c>
    </row>
    <row r="463" spans="1:10">
      <c r="A463">
        <v>1112</v>
      </c>
      <c r="B463" t="s">
        <v>1216</v>
      </c>
      <c r="C463" t="s">
        <v>967</v>
      </c>
      <c r="D463">
        <v>464382</v>
      </c>
      <c r="E463" t="s">
        <v>593</v>
      </c>
      <c r="F463" t="s">
        <v>23</v>
      </c>
      <c r="G463" t="str">
        <f t="shared" si="14"/>
        <v>Yes</v>
      </c>
      <c r="H463">
        <f t="shared" si="15"/>
        <v>70</v>
      </c>
      <c r="I463" s="1">
        <f>IF(COUNTIF('Transaction Data'!A:A,A463)&gt;5,20,0)+IF(COUNTIFS('Transaction Data'!A:A,A463,'Transaction Data'!G:G,"Yes")&gt;2,30,0)</f>
        <v>0</v>
      </c>
      <c r="J463">
        <f>'Client Master Data'!I463+'Client Master Data'!J463+H463+I463</f>
        <v>100</v>
      </c>
    </row>
    <row r="464" spans="1:10">
      <c r="A464">
        <v>1261</v>
      </c>
      <c r="B464" t="s">
        <v>1217</v>
      </c>
      <c r="C464" t="s">
        <v>861</v>
      </c>
      <c r="D464">
        <v>166378</v>
      </c>
      <c r="E464" t="s">
        <v>588</v>
      </c>
      <c r="F464" t="s">
        <v>39</v>
      </c>
      <c r="G464" t="str">
        <f t="shared" si="14"/>
        <v>Yes</v>
      </c>
      <c r="H464">
        <f t="shared" si="15"/>
        <v>70</v>
      </c>
      <c r="I464" s="1">
        <f>IF(COUNTIF('Transaction Data'!A:A,A464)&gt;5,20,0)+IF(COUNTIFS('Transaction Data'!A:A,A464,'Transaction Data'!G:G,"Yes")&gt;2,30,0)</f>
        <v>30</v>
      </c>
      <c r="J464">
        <f>'Client Master Data'!I464+'Client Master Data'!J464+H464+I464</f>
        <v>150</v>
      </c>
    </row>
    <row r="465" spans="1:10">
      <c r="A465">
        <v>1213</v>
      </c>
      <c r="B465" t="s">
        <v>1218</v>
      </c>
      <c r="C465" t="s">
        <v>881</v>
      </c>
      <c r="D465">
        <v>114592</v>
      </c>
      <c r="E465" t="s">
        <v>600</v>
      </c>
      <c r="F465" t="s">
        <v>23</v>
      </c>
      <c r="G465" t="str">
        <f t="shared" si="14"/>
        <v>Yes</v>
      </c>
      <c r="H465">
        <f t="shared" si="15"/>
        <v>70</v>
      </c>
      <c r="I465" s="1">
        <f>IF(COUNTIF('Transaction Data'!A:A,A465)&gt;5,20,0)+IF(COUNTIFS('Transaction Data'!A:A,A465,'Transaction Data'!G:G,"Yes")&gt;2,30,0)</f>
        <v>50</v>
      </c>
      <c r="J465">
        <f>'Client Master Data'!I465+'Client Master Data'!J465+H465+I465</f>
        <v>140</v>
      </c>
    </row>
    <row r="466" spans="1:10">
      <c r="A466">
        <v>1303</v>
      </c>
      <c r="B466" t="s">
        <v>1219</v>
      </c>
      <c r="C466" t="s">
        <v>1036</v>
      </c>
      <c r="D466">
        <v>156825</v>
      </c>
      <c r="E466" t="s">
        <v>600</v>
      </c>
      <c r="F466" t="s">
        <v>39</v>
      </c>
      <c r="G466" t="str">
        <f t="shared" si="14"/>
        <v>Yes</v>
      </c>
      <c r="H466">
        <f t="shared" si="15"/>
        <v>70</v>
      </c>
      <c r="I466" s="1">
        <f>IF(COUNTIF('Transaction Data'!A:A,A466)&gt;5,20,0)+IF(COUNTIFS('Transaction Data'!A:A,A466,'Transaction Data'!G:G,"Yes")&gt;2,30,0)</f>
        <v>30</v>
      </c>
      <c r="J466">
        <f>'Client Master Data'!I466+'Client Master Data'!J466+H466+I466</f>
        <v>140</v>
      </c>
    </row>
    <row r="467" spans="1:10">
      <c r="A467">
        <v>1272</v>
      </c>
      <c r="B467" t="s">
        <v>1220</v>
      </c>
      <c r="C467" t="s">
        <v>654</v>
      </c>
      <c r="D467">
        <v>14526</v>
      </c>
      <c r="E467" t="s">
        <v>588</v>
      </c>
      <c r="F467" t="s">
        <v>27</v>
      </c>
      <c r="G467" t="str">
        <f t="shared" si="14"/>
        <v>No</v>
      </c>
      <c r="H467">
        <f t="shared" si="15"/>
        <v>0</v>
      </c>
      <c r="I467" s="1">
        <f>IF(COUNTIF('Transaction Data'!A:A,A467)&gt;5,20,0)+IF(COUNTIFS('Transaction Data'!A:A,A467,'Transaction Data'!G:G,"Yes")&gt;2,30,0)</f>
        <v>0</v>
      </c>
      <c r="J467">
        <f>'Client Master Data'!I467+'Client Master Data'!J467+H467+I467</f>
        <v>50</v>
      </c>
    </row>
    <row r="468" spans="1:10">
      <c r="A468">
        <v>1035</v>
      </c>
      <c r="B468" t="s">
        <v>1221</v>
      </c>
      <c r="C468" t="s">
        <v>656</v>
      </c>
      <c r="D468">
        <v>330824</v>
      </c>
      <c r="E468" t="s">
        <v>593</v>
      </c>
      <c r="F468" t="s">
        <v>27</v>
      </c>
      <c r="G468" t="str">
        <f t="shared" si="14"/>
        <v>Yes</v>
      </c>
      <c r="H468">
        <f t="shared" si="15"/>
        <v>70</v>
      </c>
      <c r="I468" s="1">
        <f>IF(COUNTIF('Transaction Data'!A:A,A468)&gt;5,20,0)+IF(COUNTIFS('Transaction Data'!A:A,A468,'Transaction Data'!G:G,"Yes")&gt;2,30,0)</f>
        <v>0</v>
      </c>
      <c r="J468">
        <f>'Client Master Data'!I468+'Client Master Data'!J468+H468+I468</f>
        <v>110</v>
      </c>
    </row>
    <row r="469" spans="1:10">
      <c r="A469">
        <v>1070</v>
      </c>
      <c r="B469" t="s">
        <v>1222</v>
      </c>
      <c r="C469" t="s">
        <v>740</v>
      </c>
      <c r="D469">
        <v>59026</v>
      </c>
      <c r="E469" t="s">
        <v>600</v>
      </c>
      <c r="F469" t="s">
        <v>39</v>
      </c>
      <c r="G469" t="str">
        <f t="shared" si="14"/>
        <v>No</v>
      </c>
      <c r="H469">
        <f t="shared" si="15"/>
        <v>0</v>
      </c>
      <c r="I469" s="1">
        <f>IF(COUNTIF('Transaction Data'!A:A,A469)&gt;5,20,0)+IF(COUNTIFS('Transaction Data'!A:A,A469,'Transaction Data'!G:G,"Yes")&gt;2,30,0)</f>
        <v>0</v>
      </c>
      <c r="J469">
        <f>'Client Master Data'!I469+'Client Master Data'!J469+H469+I469</f>
        <v>50</v>
      </c>
    </row>
    <row r="470" spans="1:10">
      <c r="A470">
        <v>1043</v>
      </c>
      <c r="B470" t="s">
        <v>1223</v>
      </c>
      <c r="C470" t="s">
        <v>1224</v>
      </c>
      <c r="D470">
        <v>124744</v>
      </c>
      <c r="E470" t="s">
        <v>593</v>
      </c>
      <c r="F470" t="s">
        <v>11</v>
      </c>
      <c r="G470" t="str">
        <f t="shared" si="14"/>
        <v>Yes</v>
      </c>
      <c r="H470">
        <f t="shared" si="15"/>
        <v>70</v>
      </c>
      <c r="I470" s="1">
        <f>IF(COUNTIF('Transaction Data'!A:A,A470)&gt;5,20,0)+IF(COUNTIFS('Transaction Data'!A:A,A470,'Transaction Data'!G:G,"Yes")&gt;2,30,0)</f>
        <v>30</v>
      </c>
      <c r="J470">
        <f>'Client Master Data'!I470+'Client Master Data'!J470+H470+I470</f>
        <v>150</v>
      </c>
    </row>
    <row r="471" spans="1:10">
      <c r="A471">
        <v>1399</v>
      </c>
      <c r="B471" t="s">
        <v>1225</v>
      </c>
      <c r="C471" t="s">
        <v>642</v>
      </c>
      <c r="D471">
        <v>209649</v>
      </c>
      <c r="E471" t="s">
        <v>588</v>
      </c>
      <c r="F471" t="s">
        <v>11</v>
      </c>
      <c r="G471" t="str">
        <f t="shared" si="14"/>
        <v>Yes</v>
      </c>
      <c r="H471">
        <f t="shared" si="15"/>
        <v>70</v>
      </c>
      <c r="I471" s="1">
        <f>IF(COUNTIF('Transaction Data'!A:A,A471)&gt;5,20,0)+IF(COUNTIFS('Transaction Data'!A:A,A471,'Transaction Data'!G:G,"Yes")&gt;2,30,0)</f>
        <v>30</v>
      </c>
      <c r="J471">
        <f>'Client Master Data'!I471+'Client Master Data'!J471+H471+I471</f>
        <v>160</v>
      </c>
    </row>
    <row r="472" spans="1:10">
      <c r="A472">
        <v>1375</v>
      </c>
      <c r="B472" t="s">
        <v>1226</v>
      </c>
      <c r="C472" t="s">
        <v>910</v>
      </c>
      <c r="D472">
        <v>418087</v>
      </c>
      <c r="E472" t="s">
        <v>588</v>
      </c>
      <c r="F472" t="s">
        <v>17</v>
      </c>
      <c r="G472" t="str">
        <f t="shared" si="14"/>
        <v>Yes</v>
      </c>
      <c r="H472">
        <f t="shared" si="15"/>
        <v>70</v>
      </c>
      <c r="I472" s="1">
        <f>IF(COUNTIF('Transaction Data'!A:A,A472)&gt;5,20,0)+IF(COUNTIFS('Transaction Data'!A:A,A472,'Transaction Data'!G:G,"Yes")&gt;2,30,0)</f>
        <v>30</v>
      </c>
      <c r="J472">
        <f>'Client Master Data'!I472+'Client Master Data'!J472+H472+I472</f>
        <v>140</v>
      </c>
    </row>
    <row r="473" spans="1:10">
      <c r="A473">
        <v>1042</v>
      </c>
      <c r="B473" t="s">
        <v>1227</v>
      </c>
      <c r="C473" t="s">
        <v>676</v>
      </c>
      <c r="D473">
        <v>10544</v>
      </c>
      <c r="E473" t="s">
        <v>588</v>
      </c>
      <c r="F473" t="s">
        <v>54</v>
      </c>
      <c r="G473" t="str">
        <f t="shared" si="14"/>
        <v>Yes</v>
      </c>
      <c r="H473">
        <f t="shared" si="15"/>
        <v>40</v>
      </c>
      <c r="I473" s="1">
        <f>IF(COUNTIF('Transaction Data'!A:A,A473)&gt;5,20,0)+IF(COUNTIFS('Transaction Data'!A:A,A473,'Transaction Data'!G:G,"Yes")&gt;2,30,0)</f>
        <v>30</v>
      </c>
      <c r="J473">
        <f>'Client Master Data'!I473+'Client Master Data'!J473+H473+I473</f>
        <v>90</v>
      </c>
    </row>
    <row r="474" spans="1:10">
      <c r="A474">
        <v>1448</v>
      </c>
      <c r="B474" t="s">
        <v>1228</v>
      </c>
      <c r="C474" t="s">
        <v>740</v>
      </c>
      <c r="D474">
        <v>319548</v>
      </c>
      <c r="E474" t="s">
        <v>588</v>
      </c>
      <c r="F474" t="s">
        <v>17</v>
      </c>
      <c r="G474" t="str">
        <f t="shared" si="14"/>
        <v>Yes</v>
      </c>
      <c r="H474">
        <f t="shared" si="15"/>
        <v>70</v>
      </c>
      <c r="I474" s="1">
        <f>IF(COUNTIF('Transaction Data'!A:A,A474)&gt;5,20,0)+IF(COUNTIFS('Transaction Data'!A:A,A474,'Transaction Data'!G:G,"Yes")&gt;2,30,0)</f>
        <v>30</v>
      </c>
      <c r="J474">
        <f>'Client Master Data'!I474+'Client Master Data'!J474+H474+I474</f>
        <v>130</v>
      </c>
    </row>
    <row r="475" spans="1:10">
      <c r="A475">
        <v>1400</v>
      </c>
      <c r="B475" t="s">
        <v>1229</v>
      </c>
      <c r="C475" t="s">
        <v>740</v>
      </c>
      <c r="D475">
        <v>87422</v>
      </c>
      <c r="E475" t="s">
        <v>593</v>
      </c>
      <c r="F475" t="s">
        <v>54</v>
      </c>
      <c r="G475" t="str">
        <f t="shared" si="14"/>
        <v>Yes</v>
      </c>
      <c r="H475">
        <f t="shared" si="15"/>
        <v>40</v>
      </c>
      <c r="I475" s="1">
        <f>IF(COUNTIF('Transaction Data'!A:A,A475)&gt;5,20,0)+IF(COUNTIFS('Transaction Data'!A:A,A475,'Transaction Data'!G:G,"Yes")&gt;2,30,0)</f>
        <v>0</v>
      </c>
      <c r="J475">
        <f>'Client Master Data'!I475+'Client Master Data'!J475+H475+I475</f>
        <v>60</v>
      </c>
    </row>
    <row r="476" spans="1:10">
      <c r="A476">
        <v>1097</v>
      </c>
      <c r="B476" t="s">
        <v>1230</v>
      </c>
      <c r="C476" t="s">
        <v>870</v>
      </c>
      <c r="D476">
        <v>352075</v>
      </c>
      <c r="E476" t="s">
        <v>588</v>
      </c>
      <c r="F476" t="s">
        <v>39</v>
      </c>
      <c r="G476" t="str">
        <f t="shared" si="14"/>
        <v>Yes</v>
      </c>
      <c r="H476">
        <f t="shared" si="15"/>
        <v>70</v>
      </c>
      <c r="I476" s="1">
        <f>IF(COUNTIF('Transaction Data'!A:A,A476)&gt;5,20,0)+IF(COUNTIFS('Transaction Data'!A:A,A476,'Transaction Data'!G:G,"Yes")&gt;2,30,0)</f>
        <v>30</v>
      </c>
      <c r="J476">
        <f>'Client Master Data'!I476+'Client Master Data'!J476+H476+I476</f>
        <v>120</v>
      </c>
    </row>
    <row r="477" spans="1:10">
      <c r="A477">
        <v>1057</v>
      </c>
      <c r="B477" t="s">
        <v>1231</v>
      </c>
      <c r="C477" t="s">
        <v>723</v>
      </c>
      <c r="D477">
        <v>166798</v>
      </c>
      <c r="E477" t="s">
        <v>593</v>
      </c>
      <c r="F477" t="s">
        <v>27</v>
      </c>
      <c r="G477" t="str">
        <f t="shared" si="14"/>
        <v>Yes</v>
      </c>
      <c r="H477">
        <f t="shared" si="15"/>
        <v>70</v>
      </c>
      <c r="I477" s="1">
        <f>IF(COUNTIF('Transaction Data'!A:A,A477)&gt;5,20,0)+IF(COUNTIFS('Transaction Data'!A:A,A477,'Transaction Data'!G:G,"Yes")&gt;2,30,0)</f>
        <v>0</v>
      </c>
      <c r="J477">
        <f>'Client Master Data'!I477+'Client Master Data'!J477+H477+I477</f>
        <v>140</v>
      </c>
    </row>
    <row r="478" spans="1:10">
      <c r="A478">
        <v>1203</v>
      </c>
      <c r="B478" t="s">
        <v>1232</v>
      </c>
      <c r="C478" t="s">
        <v>696</v>
      </c>
      <c r="D478">
        <v>432097</v>
      </c>
      <c r="E478" t="s">
        <v>593</v>
      </c>
      <c r="F478" t="s">
        <v>39</v>
      </c>
      <c r="G478" t="str">
        <f t="shared" si="14"/>
        <v>Yes</v>
      </c>
      <c r="H478">
        <f t="shared" si="15"/>
        <v>70</v>
      </c>
      <c r="I478" s="1">
        <f>IF(COUNTIF('Transaction Data'!A:A,A478)&gt;5,20,0)+IF(COUNTIFS('Transaction Data'!A:A,A478,'Transaction Data'!G:G,"Yes")&gt;2,30,0)</f>
        <v>30</v>
      </c>
      <c r="J478">
        <f>'Client Master Data'!I478+'Client Master Data'!J478+H478+I478</f>
        <v>150</v>
      </c>
    </row>
    <row r="479" spans="1:10">
      <c r="A479">
        <v>1084</v>
      </c>
      <c r="B479" t="s">
        <v>1233</v>
      </c>
      <c r="C479" t="s">
        <v>1234</v>
      </c>
      <c r="D479">
        <v>13292</v>
      </c>
      <c r="E479" t="s">
        <v>593</v>
      </c>
      <c r="F479" t="s">
        <v>23</v>
      </c>
      <c r="G479" t="str">
        <f t="shared" si="14"/>
        <v>No</v>
      </c>
      <c r="H479">
        <f t="shared" si="15"/>
        <v>0</v>
      </c>
      <c r="I479" s="1">
        <f>IF(COUNTIF('Transaction Data'!A:A,A479)&gt;5,20,0)+IF(COUNTIFS('Transaction Data'!A:A,A479,'Transaction Data'!G:G,"Yes")&gt;2,30,0)</f>
        <v>0</v>
      </c>
      <c r="J479">
        <f>'Client Master Data'!I479+'Client Master Data'!J479+H479+I479</f>
        <v>50</v>
      </c>
    </row>
    <row r="480" spans="1:10">
      <c r="A480">
        <v>1458</v>
      </c>
      <c r="B480" t="s">
        <v>1235</v>
      </c>
      <c r="C480" t="s">
        <v>595</v>
      </c>
      <c r="D480">
        <v>308860</v>
      </c>
      <c r="E480" t="s">
        <v>588</v>
      </c>
      <c r="F480" t="s">
        <v>39</v>
      </c>
      <c r="G480" t="str">
        <f t="shared" si="14"/>
        <v>Yes</v>
      </c>
      <c r="H480">
        <f t="shared" si="15"/>
        <v>70</v>
      </c>
      <c r="I480" s="1">
        <f>IF(COUNTIF('Transaction Data'!A:A,A480)&gt;5,20,0)+IF(COUNTIFS('Transaction Data'!A:A,A480,'Transaction Data'!G:G,"Yes")&gt;2,30,0)</f>
        <v>30</v>
      </c>
      <c r="J480">
        <f>'Client Master Data'!I480+'Client Master Data'!J480+H480+I480</f>
        <v>130</v>
      </c>
    </row>
    <row r="481" spans="1:10">
      <c r="A481">
        <v>1181</v>
      </c>
      <c r="B481" t="s">
        <v>1236</v>
      </c>
      <c r="C481" t="s">
        <v>1036</v>
      </c>
      <c r="D481">
        <v>7358</v>
      </c>
      <c r="E481" t="s">
        <v>600</v>
      </c>
      <c r="F481" t="s">
        <v>11</v>
      </c>
      <c r="G481" t="str">
        <f t="shared" si="14"/>
        <v>No</v>
      </c>
      <c r="H481">
        <f t="shared" si="15"/>
        <v>0</v>
      </c>
      <c r="I481" s="1">
        <f>IF(COUNTIF('Transaction Data'!A:A,A481)&gt;5,20,0)+IF(COUNTIFS('Transaction Data'!A:A,A481,'Transaction Data'!G:G,"Yes")&gt;2,30,0)</f>
        <v>0</v>
      </c>
      <c r="J481">
        <f>'Client Master Data'!I481+'Client Master Data'!J481+H481+I481</f>
        <v>50</v>
      </c>
    </row>
    <row r="482" spans="1:10">
      <c r="A482">
        <v>1188</v>
      </c>
      <c r="B482" t="s">
        <v>1237</v>
      </c>
      <c r="C482" t="s">
        <v>682</v>
      </c>
      <c r="D482">
        <v>53348</v>
      </c>
      <c r="E482" t="s">
        <v>593</v>
      </c>
      <c r="F482" t="s">
        <v>39</v>
      </c>
      <c r="G482" t="str">
        <f t="shared" si="14"/>
        <v>No</v>
      </c>
      <c r="H482">
        <f t="shared" si="15"/>
        <v>0</v>
      </c>
      <c r="I482" s="1">
        <f>IF(COUNTIF('Transaction Data'!A:A,A482)&gt;5,20,0)+IF(COUNTIFS('Transaction Data'!A:A,A482,'Transaction Data'!G:G,"Yes")&gt;2,30,0)</f>
        <v>0</v>
      </c>
      <c r="J482">
        <f>'Client Master Data'!I482+'Client Master Data'!J482+H482+I482</f>
        <v>30</v>
      </c>
    </row>
    <row r="483" spans="1:10">
      <c r="A483">
        <v>1294</v>
      </c>
      <c r="B483" t="s">
        <v>1238</v>
      </c>
      <c r="C483" t="s">
        <v>747</v>
      </c>
      <c r="D483">
        <v>248096</v>
      </c>
      <c r="E483" t="s">
        <v>600</v>
      </c>
      <c r="F483" t="s">
        <v>54</v>
      </c>
      <c r="G483" t="str">
        <f t="shared" si="14"/>
        <v>Yes</v>
      </c>
      <c r="H483">
        <f t="shared" si="15"/>
        <v>70</v>
      </c>
      <c r="I483" s="1">
        <f>IF(COUNTIF('Transaction Data'!A:A,A483)&gt;5,20,0)+IF(COUNTIFS('Transaction Data'!A:A,A483,'Transaction Data'!G:G,"Yes")&gt;2,30,0)</f>
        <v>0</v>
      </c>
      <c r="J483">
        <f>'Client Master Data'!I483+'Client Master Data'!J483+H483+I483</f>
        <v>140</v>
      </c>
    </row>
    <row r="484" spans="1:10">
      <c r="A484">
        <v>1280</v>
      </c>
      <c r="B484" t="s">
        <v>1239</v>
      </c>
      <c r="C484" t="s">
        <v>902</v>
      </c>
      <c r="D484">
        <v>323516</v>
      </c>
      <c r="E484" t="s">
        <v>593</v>
      </c>
      <c r="F484" t="s">
        <v>23</v>
      </c>
      <c r="G484" t="str">
        <f t="shared" si="14"/>
        <v>Yes</v>
      </c>
      <c r="H484">
        <f t="shared" si="15"/>
        <v>70</v>
      </c>
      <c r="I484" s="1">
        <f>IF(COUNTIF('Transaction Data'!A:A,A484)&gt;5,20,0)+IF(COUNTIFS('Transaction Data'!A:A,A484,'Transaction Data'!G:G,"Yes")&gt;2,30,0)</f>
        <v>0</v>
      </c>
      <c r="J484">
        <f>'Client Master Data'!I484+'Client Master Data'!J484+H484+I484</f>
        <v>130</v>
      </c>
    </row>
    <row r="485" spans="1:10">
      <c r="A485">
        <v>1445</v>
      </c>
      <c r="B485" t="s">
        <v>1240</v>
      </c>
      <c r="C485" t="s">
        <v>687</v>
      </c>
      <c r="D485">
        <v>457233</v>
      </c>
      <c r="E485" t="s">
        <v>593</v>
      </c>
      <c r="F485" t="s">
        <v>27</v>
      </c>
      <c r="G485" t="str">
        <f t="shared" si="14"/>
        <v>Yes</v>
      </c>
      <c r="H485">
        <f t="shared" si="15"/>
        <v>70</v>
      </c>
      <c r="I485" s="1">
        <f>IF(COUNTIF('Transaction Data'!A:A,A485)&gt;5,20,0)+IF(COUNTIFS('Transaction Data'!A:A,A485,'Transaction Data'!G:G,"Yes")&gt;2,30,0)</f>
        <v>30</v>
      </c>
      <c r="J485">
        <f>'Client Master Data'!I485+'Client Master Data'!J485+H485+I485</f>
        <v>170</v>
      </c>
    </row>
    <row r="486" spans="1:10">
      <c r="A486">
        <v>1434</v>
      </c>
      <c r="B486" t="s">
        <v>1241</v>
      </c>
      <c r="C486" t="s">
        <v>1242</v>
      </c>
      <c r="D486">
        <v>308039</v>
      </c>
      <c r="E486" t="s">
        <v>588</v>
      </c>
      <c r="F486" t="s">
        <v>23</v>
      </c>
      <c r="G486" t="str">
        <f t="shared" si="14"/>
        <v>Yes</v>
      </c>
      <c r="H486">
        <f t="shared" si="15"/>
        <v>70</v>
      </c>
      <c r="I486" s="1">
        <f>IF(COUNTIF('Transaction Data'!A:A,A486)&gt;5,20,0)+IF(COUNTIFS('Transaction Data'!A:A,A486,'Transaction Data'!G:G,"Yes")&gt;2,30,0)</f>
        <v>30</v>
      </c>
      <c r="J486">
        <f>'Client Master Data'!I486+'Client Master Data'!J486+H486+I486</f>
        <v>160</v>
      </c>
    </row>
    <row r="487" spans="1:10">
      <c r="A487">
        <v>1194</v>
      </c>
      <c r="B487" t="s">
        <v>1243</v>
      </c>
      <c r="C487" t="s">
        <v>597</v>
      </c>
      <c r="D487">
        <v>116812</v>
      </c>
      <c r="E487" t="s">
        <v>588</v>
      </c>
      <c r="F487" t="s">
        <v>11</v>
      </c>
      <c r="G487" t="str">
        <f t="shared" si="14"/>
        <v>Yes</v>
      </c>
      <c r="H487">
        <f t="shared" si="15"/>
        <v>70</v>
      </c>
      <c r="I487" s="1">
        <f>IF(COUNTIF('Transaction Data'!A:A,A487)&gt;5,20,0)+IF(COUNTIFS('Transaction Data'!A:A,A487,'Transaction Data'!G:G,"Yes")&gt;2,30,0)</f>
        <v>0</v>
      </c>
      <c r="J487">
        <f>'Client Master Data'!I487+'Client Master Data'!J487+H487+I487</f>
        <v>140</v>
      </c>
    </row>
    <row r="488" spans="1:10">
      <c r="A488">
        <v>1331</v>
      </c>
      <c r="B488" t="s">
        <v>1244</v>
      </c>
      <c r="C488" t="s">
        <v>1234</v>
      </c>
      <c r="D488">
        <v>135316</v>
      </c>
      <c r="E488" t="s">
        <v>600</v>
      </c>
      <c r="F488" t="s">
        <v>27</v>
      </c>
      <c r="G488" t="str">
        <f t="shared" si="14"/>
        <v>Yes</v>
      </c>
      <c r="H488">
        <f t="shared" si="15"/>
        <v>70</v>
      </c>
      <c r="I488" s="1">
        <f>IF(COUNTIF('Transaction Data'!A:A,A488)&gt;5,20,0)+IF(COUNTIFS('Transaction Data'!A:A,A488,'Transaction Data'!G:G,"Yes")&gt;2,30,0)</f>
        <v>30</v>
      </c>
      <c r="J488">
        <f>'Client Master Data'!I488+'Client Master Data'!J488+H488+I488</f>
        <v>130</v>
      </c>
    </row>
    <row r="489" spans="1:10">
      <c r="A489">
        <v>1251</v>
      </c>
      <c r="B489" t="s">
        <v>1245</v>
      </c>
      <c r="C489" t="s">
        <v>740</v>
      </c>
      <c r="D489">
        <v>310497</v>
      </c>
      <c r="E489" t="s">
        <v>593</v>
      </c>
      <c r="F489" t="s">
        <v>39</v>
      </c>
      <c r="G489" t="str">
        <f t="shared" si="14"/>
        <v>Yes</v>
      </c>
      <c r="H489">
        <f t="shared" si="15"/>
        <v>70</v>
      </c>
      <c r="I489" s="1">
        <f>IF(COUNTIF('Transaction Data'!A:A,A489)&gt;5,20,0)+IF(COUNTIFS('Transaction Data'!A:A,A489,'Transaction Data'!G:G,"Yes")&gt;2,30,0)</f>
        <v>30</v>
      </c>
      <c r="J489">
        <f>'Client Master Data'!I489+'Client Master Data'!J489+H489+I489</f>
        <v>130</v>
      </c>
    </row>
    <row r="490" spans="1:10">
      <c r="A490">
        <v>1157</v>
      </c>
      <c r="B490" t="s">
        <v>1246</v>
      </c>
      <c r="C490" t="s">
        <v>1066</v>
      </c>
      <c r="D490">
        <v>382388</v>
      </c>
      <c r="E490" t="s">
        <v>600</v>
      </c>
      <c r="F490" t="s">
        <v>27</v>
      </c>
      <c r="G490" t="str">
        <f t="shared" si="14"/>
        <v>Yes</v>
      </c>
      <c r="H490">
        <f t="shared" si="15"/>
        <v>70</v>
      </c>
      <c r="I490" s="1">
        <f>IF(COUNTIF('Transaction Data'!A:A,A490)&gt;5,20,0)+IF(COUNTIFS('Transaction Data'!A:A,A490,'Transaction Data'!G:G,"Yes")&gt;2,30,0)</f>
        <v>0</v>
      </c>
      <c r="J490">
        <f>'Client Master Data'!I490+'Client Master Data'!J490+H490+I490</f>
        <v>120</v>
      </c>
    </row>
    <row r="491" spans="1:10">
      <c r="A491">
        <v>1257</v>
      </c>
      <c r="B491" t="s">
        <v>1247</v>
      </c>
      <c r="C491" t="s">
        <v>707</v>
      </c>
      <c r="D491">
        <v>422149</v>
      </c>
      <c r="E491" t="s">
        <v>600</v>
      </c>
      <c r="F491" t="s">
        <v>11</v>
      </c>
      <c r="G491" t="str">
        <f t="shared" si="14"/>
        <v>Yes</v>
      </c>
      <c r="H491">
        <f t="shared" si="15"/>
        <v>70</v>
      </c>
      <c r="I491" s="1">
        <f>IF(COUNTIF('Transaction Data'!A:A,A491)&gt;5,20,0)+IF(COUNTIFS('Transaction Data'!A:A,A491,'Transaction Data'!G:G,"Yes")&gt;2,30,0)</f>
        <v>30</v>
      </c>
      <c r="J491">
        <f>'Client Master Data'!I491+'Client Master Data'!J491+H491+I491</f>
        <v>170</v>
      </c>
    </row>
    <row r="492" spans="1:10">
      <c r="A492">
        <v>1143</v>
      </c>
      <c r="B492" t="s">
        <v>1248</v>
      </c>
      <c r="C492" t="s">
        <v>778</v>
      </c>
      <c r="D492">
        <v>91521</v>
      </c>
      <c r="E492" t="s">
        <v>588</v>
      </c>
      <c r="F492" t="s">
        <v>27</v>
      </c>
      <c r="G492" t="str">
        <f t="shared" si="14"/>
        <v>No</v>
      </c>
      <c r="H492">
        <f t="shared" si="15"/>
        <v>0</v>
      </c>
      <c r="I492" s="1">
        <f>IF(COUNTIF('Transaction Data'!A:A,A492)&gt;5,20,0)+IF(COUNTIFS('Transaction Data'!A:A,A492,'Transaction Data'!G:G,"Yes")&gt;2,30,0)</f>
        <v>0</v>
      </c>
      <c r="J492">
        <f>'Client Master Data'!I492+'Client Master Data'!J492+H492+I492</f>
        <v>50</v>
      </c>
    </row>
    <row r="493" spans="1:10">
      <c r="A493">
        <v>1218</v>
      </c>
      <c r="B493" t="s">
        <v>1249</v>
      </c>
      <c r="C493" t="s">
        <v>789</v>
      </c>
      <c r="D493">
        <v>173877</v>
      </c>
      <c r="E493" t="s">
        <v>588</v>
      </c>
      <c r="F493" t="s">
        <v>39</v>
      </c>
      <c r="G493" t="str">
        <f t="shared" si="14"/>
        <v>Yes</v>
      </c>
      <c r="H493">
        <f t="shared" si="15"/>
        <v>70</v>
      </c>
      <c r="I493" s="1">
        <f>IF(COUNTIF('Transaction Data'!A:A,A493)&gt;5,20,0)+IF(COUNTIFS('Transaction Data'!A:A,A493,'Transaction Data'!G:G,"Yes")&gt;2,30,0)</f>
        <v>0</v>
      </c>
      <c r="J493">
        <f>'Client Master Data'!I493+'Client Master Data'!J493+H493+I493</f>
        <v>140</v>
      </c>
    </row>
    <row r="494" spans="1:10">
      <c r="A494">
        <v>1413</v>
      </c>
      <c r="B494" t="s">
        <v>1250</v>
      </c>
      <c r="C494" t="s">
        <v>614</v>
      </c>
      <c r="D494">
        <v>199049</v>
      </c>
      <c r="E494" t="s">
        <v>588</v>
      </c>
      <c r="F494" t="s">
        <v>11</v>
      </c>
      <c r="G494" t="str">
        <f t="shared" si="14"/>
        <v>Yes</v>
      </c>
      <c r="H494">
        <f t="shared" si="15"/>
        <v>70</v>
      </c>
      <c r="I494" s="1">
        <f>IF(COUNTIF('Transaction Data'!A:A,A494)&gt;5,20,0)+IF(COUNTIFS('Transaction Data'!A:A,A494,'Transaction Data'!G:G,"Yes")&gt;2,30,0)</f>
        <v>30</v>
      </c>
      <c r="J494">
        <f>'Client Master Data'!I494+'Client Master Data'!J494+H494+I494</f>
        <v>120</v>
      </c>
    </row>
    <row r="495" spans="1:10">
      <c r="A495">
        <v>1182</v>
      </c>
      <c r="B495" t="s">
        <v>1251</v>
      </c>
      <c r="C495" t="s">
        <v>847</v>
      </c>
      <c r="D495">
        <v>322821</v>
      </c>
      <c r="E495" t="s">
        <v>588</v>
      </c>
      <c r="F495" t="s">
        <v>11</v>
      </c>
      <c r="G495" t="str">
        <f t="shared" si="14"/>
        <v>Yes</v>
      </c>
      <c r="H495">
        <f t="shared" si="15"/>
        <v>70</v>
      </c>
      <c r="I495" s="1">
        <f>IF(COUNTIF('Transaction Data'!A:A,A495)&gt;5,20,0)+IF(COUNTIFS('Transaction Data'!A:A,A495,'Transaction Data'!G:G,"Yes")&gt;2,30,0)</f>
        <v>0</v>
      </c>
      <c r="J495">
        <f>'Client Master Data'!I495+'Client Master Data'!J495+H495+I495</f>
        <v>130</v>
      </c>
    </row>
    <row r="496" spans="1:10">
      <c r="A496">
        <v>1341</v>
      </c>
      <c r="B496" t="s">
        <v>1252</v>
      </c>
      <c r="C496" t="s">
        <v>953</v>
      </c>
      <c r="D496">
        <v>326503</v>
      </c>
      <c r="E496" t="s">
        <v>600</v>
      </c>
      <c r="F496" t="s">
        <v>27</v>
      </c>
      <c r="G496" t="str">
        <f t="shared" si="14"/>
        <v>Yes</v>
      </c>
      <c r="H496">
        <f t="shared" si="15"/>
        <v>70</v>
      </c>
      <c r="I496" s="1">
        <f>IF(COUNTIF('Transaction Data'!A:A,A496)&gt;5,20,0)+IF(COUNTIFS('Transaction Data'!A:A,A496,'Transaction Data'!G:G,"Yes")&gt;2,30,0)</f>
        <v>30</v>
      </c>
      <c r="J496">
        <f>'Client Master Data'!I496+'Client Master Data'!J496+H496+I496</f>
        <v>120</v>
      </c>
    </row>
    <row r="497" spans="1:10">
      <c r="A497">
        <v>1211</v>
      </c>
      <c r="B497" t="s">
        <v>1253</v>
      </c>
      <c r="C497" t="s">
        <v>1179</v>
      </c>
      <c r="D497">
        <v>341949</v>
      </c>
      <c r="E497" t="s">
        <v>593</v>
      </c>
      <c r="F497" t="s">
        <v>39</v>
      </c>
      <c r="G497" t="str">
        <f t="shared" si="14"/>
        <v>Yes</v>
      </c>
      <c r="H497">
        <f t="shared" si="15"/>
        <v>70</v>
      </c>
      <c r="I497" s="1">
        <f>IF(COUNTIF('Transaction Data'!A:A,A497)&gt;5,20,0)+IF(COUNTIFS('Transaction Data'!A:A,A497,'Transaction Data'!G:G,"Yes")&gt;2,30,0)</f>
        <v>30</v>
      </c>
      <c r="J497">
        <f>'Client Master Data'!I497+'Client Master Data'!J497+H497+I497</f>
        <v>150</v>
      </c>
    </row>
    <row r="498" spans="1:10">
      <c r="A498">
        <v>1115</v>
      </c>
      <c r="B498" t="s">
        <v>1254</v>
      </c>
      <c r="C498" t="s">
        <v>725</v>
      </c>
      <c r="D498">
        <v>437876</v>
      </c>
      <c r="E498" t="s">
        <v>600</v>
      </c>
      <c r="F498" t="s">
        <v>11</v>
      </c>
      <c r="G498" t="str">
        <f t="shared" si="14"/>
        <v>Yes</v>
      </c>
      <c r="H498">
        <f t="shared" si="15"/>
        <v>70</v>
      </c>
      <c r="I498" s="1">
        <f>IF(COUNTIF('Transaction Data'!A:A,A498)&gt;5,20,0)+IF(COUNTIFS('Transaction Data'!A:A,A498,'Transaction Data'!G:G,"Yes")&gt;2,30,0)</f>
        <v>0</v>
      </c>
      <c r="J498">
        <f>'Client Master Data'!I498+'Client Master Data'!J498+H498+I498</f>
        <v>120</v>
      </c>
    </row>
    <row r="499" spans="1:10">
      <c r="A499">
        <v>1162</v>
      </c>
      <c r="B499" t="s">
        <v>1255</v>
      </c>
      <c r="C499" t="s">
        <v>910</v>
      </c>
      <c r="D499">
        <v>80182</v>
      </c>
      <c r="E499" t="s">
        <v>593</v>
      </c>
      <c r="F499" t="s">
        <v>23</v>
      </c>
      <c r="G499" t="str">
        <f t="shared" si="14"/>
        <v>No</v>
      </c>
      <c r="H499">
        <f t="shared" si="15"/>
        <v>0</v>
      </c>
      <c r="I499" s="1">
        <f>IF(COUNTIF('Transaction Data'!A:A,A499)&gt;5,20,0)+IF(COUNTIFS('Transaction Data'!A:A,A499,'Transaction Data'!G:G,"Yes")&gt;2,30,0)</f>
        <v>0</v>
      </c>
      <c r="J499">
        <f>'Client Master Data'!I499+'Client Master Data'!J499+H499+I499</f>
        <v>30</v>
      </c>
    </row>
    <row r="500" spans="1:10">
      <c r="A500">
        <v>1043</v>
      </c>
      <c r="B500" t="s">
        <v>1256</v>
      </c>
      <c r="C500" t="s">
        <v>597</v>
      </c>
      <c r="D500">
        <v>145040</v>
      </c>
      <c r="E500" t="s">
        <v>588</v>
      </c>
      <c r="F500" t="s">
        <v>27</v>
      </c>
      <c r="G500" t="str">
        <f t="shared" si="14"/>
        <v>Yes</v>
      </c>
      <c r="H500">
        <f t="shared" si="15"/>
        <v>70</v>
      </c>
      <c r="I500" s="1">
        <f>IF(COUNTIF('Transaction Data'!A:A,A500)&gt;5,20,0)+IF(COUNTIFS('Transaction Data'!A:A,A500,'Transaction Data'!G:G,"Yes")&gt;2,30,0)</f>
        <v>30</v>
      </c>
      <c r="J500">
        <f>'Client Master Data'!I500+'Client Master Data'!J500+H500+I500</f>
        <v>150</v>
      </c>
    </row>
    <row r="501" spans="1:10">
      <c r="A501">
        <v>1266</v>
      </c>
      <c r="B501" t="s">
        <v>1257</v>
      </c>
      <c r="C501" t="s">
        <v>798</v>
      </c>
      <c r="D501">
        <v>282044</v>
      </c>
      <c r="E501" t="s">
        <v>600</v>
      </c>
      <c r="F501" t="s">
        <v>27</v>
      </c>
      <c r="G501" t="str">
        <f t="shared" si="14"/>
        <v>Yes</v>
      </c>
      <c r="H501">
        <f t="shared" si="15"/>
        <v>70</v>
      </c>
      <c r="I501" s="1">
        <f>IF(COUNTIF('Transaction Data'!A:A,A501)&gt;5,20,0)+IF(COUNTIFS('Transaction Data'!A:A,A501,'Transaction Data'!G:G,"Yes")&gt;2,30,0)</f>
        <v>30</v>
      </c>
      <c r="J501">
        <f>'Client Master Data'!I501+'Client Master Data'!J501+H501+I501</f>
        <v>130</v>
      </c>
    </row>
    <row r="502" spans="1:10">
      <c r="A502">
        <v>1191</v>
      </c>
      <c r="B502" t="s">
        <v>1258</v>
      </c>
      <c r="C502" t="s">
        <v>604</v>
      </c>
      <c r="D502">
        <v>403863</v>
      </c>
      <c r="E502" t="s">
        <v>588</v>
      </c>
      <c r="F502" t="s">
        <v>17</v>
      </c>
      <c r="G502" t="str">
        <f t="shared" si="14"/>
        <v>Yes</v>
      </c>
      <c r="H502">
        <f t="shared" si="15"/>
        <v>70</v>
      </c>
      <c r="I502" s="1">
        <f>IF(COUNTIF('Transaction Data'!A:A,A502)&gt;5,20,0)+IF(COUNTIFS('Transaction Data'!A:A,A502,'Transaction Data'!G:G,"Yes")&gt;2,30,0)</f>
        <v>30</v>
      </c>
      <c r="J502">
        <f>'Client Master Data'!I502+'Client Master Data'!J502+H502+I502</f>
        <v>150</v>
      </c>
    </row>
    <row r="503" spans="1:10">
      <c r="A503">
        <v>1056</v>
      </c>
      <c r="B503" t="s">
        <v>1259</v>
      </c>
      <c r="C503" t="s">
        <v>792</v>
      </c>
      <c r="D503">
        <v>68703</v>
      </c>
      <c r="E503" t="s">
        <v>588</v>
      </c>
      <c r="F503" t="s">
        <v>17</v>
      </c>
      <c r="G503" t="str">
        <f t="shared" si="14"/>
        <v>Yes</v>
      </c>
      <c r="H503">
        <f t="shared" si="15"/>
        <v>40</v>
      </c>
      <c r="I503" s="1">
        <f>IF(COUNTIF('Transaction Data'!A:A,A503)&gt;5,20,0)+IF(COUNTIFS('Transaction Data'!A:A,A503,'Transaction Data'!G:G,"Yes")&gt;2,30,0)</f>
        <v>0</v>
      </c>
      <c r="J503">
        <f>'Client Master Data'!I503+'Client Master Data'!J503+H503+I503</f>
        <v>100</v>
      </c>
    </row>
    <row r="504" spans="1:10">
      <c r="A504">
        <v>1219</v>
      </c>
      <c r="B504" t="s">
        <v>1260</v>
      </c>
      <c r="C504" t="s">
        <v>587</v>
      </c>
      <c r="D504">
        <v>132086</v>
      </c>
      <c r="E504" t="s">
        <v>600</v>
      </c>
      <c r="F504" t="s">
        <v>17</v>
      </c>
      <c r="G504" t="str">
        <f t="shared" si="14"/>
        <v>Yes</v>
      </c>
      <c r="H504">
        <f t="shared" si="15"/>
        <v>70</v>
      </c>
      <c r="I504" s="1">
        <f>IF(COUNTIF('Transaction Data'!A:A,A504)&gt;5,20,0)+IF(COUNTIFS('Transaction Data'!A:A,A504,'Transaction Data'!G:G,"Yes")&gt;2,30,0)</f>
        <v>30</v>
      </c>
      <c r="J504">
        <f>'Client Master Data'!I504+'Client Master Data'!J504+H504+I504</f>
        <v>130</v>
      </c>
    </row>
    <row r="505" spans="1:10">
      <c r="A505">
        <v>1507</v>
      </c>
      <c r="B505" t="s">
        <v>1261</v>
      </c>
      <c r="C505" t="s">
        <v>863</v>
      </c>
      <c r="D505">
        <v>402255</v>
      </c>
      <c r="E505" t="s">
        <v>588</v>
      </c>
      <c r="F505" t="s">
        <v>39</v>
      </c>
      <c r="G505" t="str">
        <f t="shared" si="14"/>
        <v>Yes</v>
      </c>
      <c r="H505">
        <f t="shared" si="15"/>
        <v>70</v>
      </c>
      <c r="I505" s="1">
        <f>IF(COUNTIF('Transaction Data'!A:A,A505)&gt;5,20,0)+IF(COUNTIFS('Transaction Data'!A:A,A505,'Transaction Data'!G:G,"Yes")&gt;2,30,0)</f>
        <v>30</v>
      </c>
      <c r="J505">
        <f>'Client Master Data'!I505+'Client Master Data'!J505+H505+I505</f>
        <v>140</v>
      </c>
    </row>
    <row r="506" spans="1:10">
      <c r="A506">
        <v>1403</v>
      </c>
      <c r="B506" t="s">
        <v>1262</v>
      </c>
      <c r="C506" t="s">
        <v>671</v>
      </c>
      <c r="D506">
        <v>295721</v>
      </c>
      <c r="E506" t="s">
        <v>593</v>
      </c>
      <c r="F506" t="s">
        <v>11</v>
      </c>
      <c r="G506" t="str">
        <f t="shared" si="14"/>
        <v>Yes</v>
      </c>
      <c r="H506">
        <f t="shared" si="15"/>
        <v>70</v>
      </c>
      <c r="I506" s="1">
        <f>IF(COUNTIF('Transaction Data'!A:A,A506)&gt;5,20,0)+IF(COUNTIFS('Transaction Data'!A:A,A506,'Transaction Data'!G:G,"Yes")&gt;2,30,0)</f>
        <v>0</v>
      </c>
      <c r="J506">
        <f>'Client Master Data'!I506+'Client Master Data'!J506+H506+I506</f>
        <v>110</v>
      </c>
    </row>
    <row r="507" spans="1:10">
      <c r="A507">
        <v>1301</v>
      </c>
      <c r="B507" t="s">
        <v>1263</v>
      </c>
      <c r="C507" t="s">
        <v>948</v>
      </c>
      <c r="D507">
        <v>195834</v>
      </c>
      <c r="E507" t="s">
        <v>588</v>
      </c>
      <c r="F507" t="s">
        <v>11</v>
      </c>
      <c r="G507" t="str">
        <f t="shared" si="14"/>
        <v>Yes</v>
      </c>
      <c r="H507">
        <f t="shared" si="15"/>
        <v>70</v>
      </c>
      <c r="I507" s="1">
        <f>IF(COUNTIF('Transaction Data'!A:A,A507)&gt;5,20,0)+IF(COUNTIFS('Transaction Data'!A:A,A507,'Transaction Data'!G:G,"Yes")&gt;2,30,0)</f>
        <v>0</v>
      </c>
      <c r="J507">
        <f>'Client Master Data'!I507+'Client Master Data'!J507+H507+I507</f>
        <v>120</v>
      </c>
    </row>
    <row r="508" spans="1:10">
      <c r="A508">
        <v>1053</v>
      </c>
      <c r="B508" t="s">
        <v>1264</v>
      </c>
      <c r="C508" t="s">
        <v>754</v>
      </c>
      <c r="D508">
        <v>397428</v>
      </c>
      <c r="E508" t="s">
        <v>588</v>
      </c>
      <c r="F508" t="s">
        <v>27</v>
      </c>
      <c r="G508" t="str">
        <f t="shared" si="14"/>
        <v>Yes</v>
      </c>
      <c r="H508">
        <f t="shared" si="15"/>
        <v>70</v>
      </c>
      <c r="I508" s="1">
        <f>IF(COUNTIF('Transaction Data'!A:A,A508)&gt;5,20,0)+IF(COUNTIFS('Transaction Data'!A:A,A508,'Transaction Data'!G:G,"Yes")&gt;2,30,0)</f>
        <v>0</v>
      </c>
      <c r="J508">
        <f>'Client Master Data'!I508+'Client Master Data'!J508+H508+I508</f>
        <v>140</v>
      </c>
    </row>
    <row r="509" spans="1:10">
      <c r="A509">
        <v>1337</v>
      </c>
      <c r="B509" t="s">
        <v>1265</v>
      </c>
      <c r="C509" t="s">
        <v>811</v>
      </c>
      <c r="D509">
        <v>393121</v>
      </c>
      <c r="E509" t="s">
        <v>593</v>
      </c>
      <c r="F509" t="s">
        <v>27</v>
      </c>
      <c r="G509" t="str">
        <f t="shared" si="14"/>
        <v>Yes</v>
      </c>
      <c r="H509">
        <f t="shared" si="15"/>
        <v>70</v>
      </c>
      <c r="I509" s="1">
        <f>IF(COUNTIF('Transaction Data'!A:A,A509)&gt;5,20,0)+IF(COUNTIFS('Transaction Data'!A:A,A509,'Transaction Data'!G:G,"Yes")&gt;2,30,0)</f>
        <v>30</v>
      </c>
      <c r="J509">
        <f>'Client Master Data'!I509+'Client Master Data'!J509+H509+I509</f>
        <v>120</v>
      </c>
    </row>
    <row r="510" spans="1:10">
      <c r="A510">
        <v>1209</v>
      </c>
      <c r="B510" t="s">
        <v>1266</v>
      </c>
      <c r="C510" t="s">
        <v>826</v>
      </c>
      <c r="D510">
        <v>98910</v>
      </c>
      <c r="E510" t="s">
        <v>600</v>
      </c>
      <c r="F510" t="s">
        <v>17</v>
      </c>
      <c r="G510" t="str">
        <f t="shared" si="14"/>
        <v>Yes</v>
      </c>
      <c r="H510">
        <f t="shared" si="15"/>
        <v>40</v>
      </c>
      <c r="I510" s="1">
        <f>IF(COUNTIF('Transaction Data'!A:A,A510)&gt;5,20,0)+IF(COUNTIFS('Transaction Data'!A:A,A510,'Transaction Data'!G:G,"Yes")&gt;2,30,0)</f>
        <v>0</v>
      </c>
      <c r="J510">
        <f>'Client Master Data'!I510+'Client Master Data'!J510+H510+I510</f>
        <v>90</v>
      </c>
    </row>
    <row r="511" spans="1:10">
      <c r="A511">
        <v>1156</v>
      </c>
      <c r="B511" t="s">
        <v>1267</v>
      </c>
      <c r="C511" t="s">
        <v>1066</v>
      </c>
      <c r="D511">
        <v>367625</v>
      </c>
      <c r="E511" t="s">
        <v>593</v>
      </c>
      <c r="F511" t="s">
        <v>27</v>
      </c>
      <c r="G511" t="str">
        <f t="shared" si="14"/>
        <v>Yes</v>
      </c>
      <c r="H511">
        <f t="shared" si="15"/>
        <v>70</v>
      </c>
      <c r="I511" s="1">
        <f>IF(COUNTIF('Transaction Data'!A:A,A511)&gt;5,20,0)+IF(COUNTIFS('Transaction Data'!A:A,A511,'Transaction Data'!G:G,"Yes")&gt;2,30,0)</f>
        <v>30</v>
      </c>
      <c r="J511">
        <f>'Client Master Data'!I511+'Client Master Data'!J511+H511+I511</f>
        <v>140</v>
      </c>
    </row>
    <row r="512" spans="1:10">
      <c r="A512">
        <v>1515</v>
      </c>
      <c r="B512" t="s">
        <v>1268</v>
      </c>
      <c r="C512" t="s">
        <v>937</v>
      </c>
      <c r="D512">
        <v>208834</v>
      </c>
      <c r="E512" t="s">
        <v>600</v>
      </c>
      <c r="F512" t="s">
        <v>17</v>
      </c>
      <c r="G512" t="str">
        <f t="shared" si="14"/>
        <v>Yes</v>
      </c>
      <c r="H512">
        <f t="shared" si="15"/>
        <v>70</v>
      </c>
      <c r="I512" s="1">
        <f>IF(COUNTIF('Transaction Data'!A:A,A512)&gt;5,20,0)+IF(COUNTIFS('Transaction Data'!A:A,A512,'Transaction Data'!G:G,"Yes")&gt;2,30,0)</f>
        <v>0</v>
      </c>
      <c r="J512">
        <f>'Client Master Data'!I512+'Client Master Data'!J512+H512+I512</f>
        <v>140</v>
      </c>
    </row>
    <row r="513" spans="1:10">
      <c r="A513">
        <v>1193</v>
      </c>
      <c r="B513" t="s">
        <v>1269</v>
      </c>
      <c r="C513" t="s">
        <v>981</v>
      </c>
      <c r="D513">
        <v>365306</v>
      </c>
      <c r="E513" t="s">
        <v>588</v>
      </c>
      <c r="F513" t="s">
        <v>11</v>
      </c>
      <c r="G513" t="str">
        <f t="shared" si="14"/>
        <v>Yes</v>
      </c>
      <c r="H513">
        <f t="shared" si="15"/>
        <v>70</v>
      </c>
      <c r="I513" s="1">
        <f>IF(COUNTIF('Transaction Data'!A:A,A513)&gt;5,20,0)+IF(COUNTIFS('Transaction Data'!A:A,A513,'Transaction Data'!G:G,"Yes")&gt;2,30,0)</f>
        <v>0</v>
      </c>
      <c r="J513">
        <f>'Client Master Data'!I513+'Client Master Data'!J513+H513+I513</f>
        <v>100</v>
      </c>
    </row>
    <row r="514" spans="1:10">
      <c r="A514">
        <v>1302</v>
      </c>
      <c r="B514" t="s">
        <v>1270</v>
      </c>
      <c r="C514" t="s">
        <v>1194</v>
      </c>
      <c r="D514">
        <v>459451</v>
      </c>
      <c r="E514" t="s">
        <v>600</v>
      </c>
      <c r="F514" t="s">
        <v>54</v>
      </c>
      <c r="G514" t="str">
        <f t="shared" ref="G514:G577" si="16">IF(OR(D514&gt;100000,F514="UAE",F514="Nigeria"),"Yes","No")</f>
        <v>Yes</v>
      </c>
      <c r="H514">
        <f t="shared" si="15"/>
        <v>70</v>
      </c>
      <c r="I514" s="1">
        <f>IF(COUNTIF('Transaction Data'!A:A,A514)&gt;5,20,0)+IF(COUNTIFS('Transaction Data'!A:A,A514,'Transaction Data'!G:G,"Yes")&gt;2,30,0)</f>
        <v>30</v>
      </c>
      <c r="J514">
        <f>'Client Master Data'!I514+'Client Master Data'!J514+H514+I514</f>
        <v>150</v>
      </c>
    </row>
    <row r="515" spans="1:10">
      <c r="A515">
        <v>1320</v>
      </c>
      <c r="B515" t="s">
        <v>1271</v>
      </c>
      <c r="C515" t="s">
        <v>930</v>
      </c>
      <c r="D515">
        <v>366327</v>
      </c>
      <c r="E515" t="s">
        <v>593</v>
      </c>
      <c r="F515" t="s">
        <v>11</v>
      </c>
      <c r="G515" t="str">
        <f t="shared" si="16"/>
        <v>Yes</v>
      </c>
      <c r="H515">
        <f t="shared" ref="H515:H578" si="17">IF(D515&gt;100000,30,0)+IF(TRIM(LOWER(G515))="yes",40,0)</f>
        <v>70</v>
      </c>
      <c r="I515" s="1">
        <f>IF(COUNTIF('Transaction Data'!A:A,A515)&gt;5,20,0)+IF(COUNTIFS('Transaction Data'!A:A,A515,'Transaction Data'!G:G,"Yes")&gt;2,30,0)</f>
        <v>30</v>
      </c>
      <c r="J515">
        <f>'Client Master Data'!I515+'Client Master Data'!J515+H515+I515</f>
        <v>170</v>
      </c>
    </row>
    <row r="516" spans="1:10">
      <c r="A516">
        <v>1228</v>
      </c>
      <c r="B516" t="s">
        <v>1272</v>
      </c>
      <c r="C516" t="s">
        <v>690</v>
      </c>
      <c r="D516">
        <v>303872</v>
      </c>
      <c r="E516" t="s">
        <v>588</v>
      </c>
      <c r="F516" t="s">
        <v>54</v>
      </c>
      <c r="G516" t="str">
        <f t="shared" si="16"/>
        <v>Yes</v>
      </c>
      <c r="H516">
        <f t="shared" si="17"/>
        <v>70</v>
      </c>
      <c r="I516" s="1">
        <f>IF(COUNTIF('Transaction Data'!A:A,A516)&gt;5,20,0)+IF(COUNTIFS('Transaction Data'!A:A,A516,'Transaction Data'!G:G,"Yes")&gt;2,30,0)</f>
        <v>30</v>
      </c>
      <c r="J516">
        <f>'Client Master Data'!I516+'Client Master Data'!J516+H516+I516</f>
        <v>150</v>
      </c>
    </row>
    <row r="517" spans="1:10">
      <c r="A517">
        <v>1304</v>
      </c>
      <c r="B517" t="s">
        <v>1273</v>
      </c>
      <c r="C517" t="s">
        <v>886</v>
      </c>
      <c r="D517">
        <v>88819</v>
      </c>
      <c r="E517" t="s">
        <v>593</v>
      </c>
      <c r="F517" t="s">
        <v>11</v>
      </c>
      <c r="G517" t="str">
        <f t="shared" si="16"/>
        <v>No</v>
      </c>
      <c r="H517">
        <f t="shared" si="17"/>
        <v>0</v>
      </c>
      <c r="I517" s="1">
        <f>IF(COUNTIF('Transaction Data'!A:A,A517)&gt;5,20,0)+IF(COUNTIFS('Transaction Data'!A:A,A517,'Transaction Data'!G:G,"Yes")&gt;2,30,0)</f>
        <v>0</v>
      </c>
      <c r="J517">
        <f>'Client Master Data'!I517+'Client Master Data'!J517+H517+I517</f>
        <v>40</v>
      </c>
    </row>
    <row r="518" spans="1:10">
      <c r="A518">
        <v>1139</v>
      </c>
      <c r="B518" t="s">
        <v>1274</v>
      </c>
      <c r="C518" t="s">
        <v>809</v>
      </c>
      <c r="D518">
        <v>428766</v>
      </c>
      <c r="E518" t="s">
        <v>593</v>
      </c>
      <c r="F518" t="s">
        <v>11</v>
      </c>
      <c r="G518" t="str">
        <f t="shared" si="16"/>
        <v>Yes</v>
      </c>
      <c r="H518">
        <f t="shared" si="17"/>
        <v>70</v>
      </c>
      <c r="I518" s="1">
        <f>IF(COUNTIF('Transaction Data'!A:A,A518)&gt;5,20,0)+IF(COUNTIFS('Transaction Data'!A:A,A518,'Transaction Data'!G:G,"Yes")&gt;2,30,0)</f>
        <v>0</v>
      </c>
      <c r="J518">
        <f>'Client Master Data'!I518+'Client Master Data'!J518+H518+I518</f>
        <v>120</v>
      </c>
    </row>
    <row r="519" spans="1:10">
      <c r="A519">
        <v>1144</v>
      </c>
      <c r="B519" t="s">
        <v>1275</v>
      </c>
      <c r="C519" t="s">
        <v>908</v>
      </c>
      <c r="D519">
        <v>204969</v>
      </c>
      <c r="E519" t="s">
        <v>588</v>
      </c>
      <c r="F519" t="s">
        <v>27</v>
      </c>
      <c r="G519" t="str">
        <f t="shared" si="16"/>
        <v>Yes</v>
      </c>
      <c r="H519">
        <f t="shared" si="17"/>
        <v>70</v>
      </c>
      <c r="I519" s="1">
        <f>IF(COUNTIF('Transaction Data'!A:A,A519)&gt;5,20,0)+IF(COUNTIFS('Transaction Data'!A:A,A519,'Transaction Data'!G:G,"Yes")&gt;2,30,0)</f>
        <v>0</v>
      </c>
      <c r="J519">
        <f>'Client Master Data'!I519+'Client Master Data'!J519+H519+I519</f>
        <v>100</v>
      </c>
    </row>
    <row r="520" spans="1:10">
      <c r="A520">
        <v>1451</v>
      </c>
      <c r="B520" t="s">
        <v>1276</v>
      </c>
      <c r="C520" t="s">
        <v>845</v>
      </c>
      <c r="D520">
        <v>346465</v>
      </c>
      <c r="E520" t="s">
        <v>600</v>
      </c>
      <c r="F520" t="s">
        <v>11</v>
      </c>
      <c r="G520" t="str">
        <f t="shared" si="16"/>
        <v>Yes</v>
      </c>
      <c r="H520">
        <f t="shared" si="17"/>
        <v>70</v>
      </c>
      <c r="I520" s="1">
        <f>IF(COUNTIF('Transaction Data'!A:A,A520)&gt;5,20,0)+IF(COUNTIFS('Transaction Data'!A:A,A520,'Transaction Data'!G:G,"Yes")&gt;2,30,0)</f>
        <v>30</v>
      </c>
      <c r="J520">
        <f>'Client Master Data'!I520+'Client Master Data'!J520+H520+I520</f>
        <v>150</v>
      </c>
    </row>
    <row r="521" spans="1:10">
      <c r="A521">
        <v>1362</v>
      </c>
      <c r="B521" t="s">
        <v>1277</v>
      </c>
      <c r="C521" t="s">
        <v>629</v>
      </c>
      <c r="D521">
        <v>444177</v>
      </c>
      <c r="E521" t="s">
        <v>588</v>
      </c>
      <c r="F521" t="s">
        <v>23</v>
      </c>
      <c r="G521" t="str">
        <f t="shared" si="16"/>
        <v>Yes</v>
      </c>
      <c r="H521">
        <f t="shared" si="17"/>
        <v>70</v>
      </c>
      <c r="I521" s="1">
        <f>IF(COUNTIF('Transaction Data'!A:A,A521)&gt;5,20,0)+IF(COUNTIFS('Transaction Data'!A:A,A521,'Transaction Data'!G:G,"Yes")&gt;2,30,0)</f>
        <v>0</v>
      </c>
      <c r="J521">
        <f>'Client Master Data'!I521+'Client Master Data'!J521+H521+I521</f>
        <v>120</v>
      </c>
    </row>
    <row r="522" spans="1:10">
      <c r="A522">
        <v>1261</v>
      </c>
      <c r="B522" t="s">
        <v>1278</v>
      </c>
      <c r="C522" t="s">
        <v>842</v>
      </c>
      <c r="D522">
        <v>472521</v>
      </c>
      <c r="E522" t="s">
        <v>588</v>
      </c>
      <c r="F522" t="s">
        <v>23</v>
      </c>
      <c r="G522" t="str">
        <f t="shared" si="16"/>
        <v>Yes</v>
      </c>
      <c r="H522">
        <f t="shared" si="17"/>
        <v>70</v>
      </c>
      <c r="I522" s="1">
        <f>IF(COUNTIF('Transaction Data'!A:A,A522)&gt;5,20,0)+IF(COUNTIFS('Transaction Data'!A:A,A522,'Transaction Data'!G:G,"Yes")&gt;2,30,0)</f>
        <v>30</v>
      </c>
      <c r="J522">
        <f>'Client Master Data'!I522+'Client Master Data'!J522+H522+I522</f>
        <v>130</v>
      </c>
    </row>
    <row r="523" spans="1:10">
      <c r="A523">
        <v>1034</v>
      </c>
      <c r="B523" t="s">
        <v>1279</v>
      </c>
      <c r="C523" t="s">
        <v>1028</v>
      </c>
      <c r="D523">
        <v>336665</v>
      </c>
      <c r="E523" t="s">
        <v>600</v>
      </c>
      <c r="F523" t="s">
        <v>27</v>
      </c>
      <c r="G523" t="str">
        <f t="shared" si="16"/>
        <v>Yes</v>
      </c>
      <c r="H523">
        <f t="shared" si="17"/>
        <v>70</v>
      </c>
      <c r="I523" s="1">
        <f>IF(COUNTIF('Transaction Data'!A:A,A523)&gt;5,20,0)+IF(COUNTIFS('Transaction Data'!A:A,A523,'Transaction Data'!G:G,"Yes")&gt;2,30,0)</f>
        <v>0</v>
      </c>
      <c r="J523">
        <f>'Client Master Data'!I523+'Client Master Data'!J523+H523+I523</f>
        <v>100</v>
      </c>
    </row>
    <row r="524" spans="1:10">
      <c r="A524">
        <v>1203</v>
      </c>
      <c r="B524" t="s">
        <v>1280</v>
      </c>
      <c r="C524" t="s">
        <v>991</v>
      </c>
      <c r="D524">
        <v>270641</v>
      </c>
      <c r="E524" t="s">
        <v>600</v>
      </c>
      <c r="F524" t="s">
        <v>17</v>
      </c>
      <c r="G524" t="str">
        <f t="shared" si="16"/>
        <v>Yes</v>
      </c>
      <c r="H524">
        <f t="shared" si="17"/>
        <v>70</v>
      </c>
      <c r="I524" s="1">
        <f>IF(COUNTIF('Transaction Data'!A:A,A524)&gt;5,20,0)+IF(COUNTIFS('Transaction Data'!A:A,A524,'Transaction Data'!G:G,"Yes")&gt;2,30,0)</f>
        <v>30</v>
      </c>
      <c r="J524">
        <f>'Client Master Data'!I524+'Client Master Data'!J524+H524+I524</f>
        <v>150</v>
      </c>
    </row>
    <row r="525" spans="1:10">
      <c r="A525">
        <v>1151</v>
      </c>
      <c r="B525" t="s">
        <v>1281</v>
      </c>
      <c r="C525" t="s">
        <v>599</v>
      </c>
      <c r="D525">
        <v>297858</v>
      </c>
      <c r="E525" t="s">
        <v>600</v>
      </c>
      <c r="F525" t="s">
        <v>39</v>
      </c>
      <c r="G525" t="str">
        <f t="shared" si="16"/>
        <v>Yes</v>
      </c>
      <c r="H525">
        <f t="shared" si="17"/>
        <v>70</v>
      </c>
      <c r="I525" s="1">
        <f>IF(COUNTIF('Transaction Data'!A:A,A525)&gt;5,20,0)+IF(COUNTIFS('Transaction Data'!A:A,A525,'Transaction Data'!G:G,"Yes")&gt;2,30,0)</f>
        <v>0</v>
      </c>
      <c r="J525">
        <f>'Client Master Data'!I525+'Client Master Data'!J525+H525+I525</f>
        <v>90</v>
      </c>
    </row>
    <row r="526" spans="1:10">
      <c r="A526">
        <v>1119</v>
      </c>
      <c r="B526" t="s">
        <v>1282</v>
      </c>
      <c r="C526" t="s">
        <v>618</v>
      </c>
      <c r="D526">
        <v>309590</v>
      </c>
      <c r="E526" t="s">
        <v>600</v>
      </c>
      <c r="F526" t="s">
        <v>17</v>
      </c>
      <c r="G526" t="str">
        <f t="shared" si="16"/>
        <v>Yes</v>
      </c>
      <c r="H526">
        <f t="shared" si="17"/>
        <v>70</v>
      </c>
      <c r="I526" s="1">
        <f>IF(COUNTIF('Transaction Data'!A:A,A526)&gt;5,20,0)+IF(COUNTIFS('Transaction Data'!A:A,A526,'Transaction Data'!G:G,"Yes")&gt;2,30,0)</f>
        <v>30</v>
      </c>
      <c r="J526">
        <f>'Client Master Data'!I526+'Client Master Data'!J526+H526+I526</f>
        <v>140</v>
      </c>
    </row>
    <row r="527" spans="1:10">
      <c r="A527">
        <v>1090</v>
      </c>
      <c r="B527" t="s">
        <v>1283</v>
      </c>
      <c r="C527" t="s">
        <v>590</v>
      </c>
      <c r="D527">
        <v>361140</v>
      </c>
      <c r="E527" t="s">
        <v>593</v>
      </c>
      <c r="F527" t="s">
        <v>23</v>
      </c>
      <c r="G527" t="str">
        <f t="shared" si="16"/>
        <v>Yes</v>
      </c>
      <c r="H527">
        <f t="shared" si="17"/>
        <v>70</v>
      </c>
      <c r="I527" s="1">
        <f>IF(COUNTIF('Transaction Data'!A:A,A527)&gt;5,20,0)+IF(COUNTIFS('Transaction Data'!A:A,A527,'Transaction Data'!G:G,"Yes")&gt;2,30,0)</f>
        <v>30</v>
      </c>
      <c r="J527">
        <f>'Client Master Data'!I527+'Client Master Data'!J527+H527+I527</f>
        <v>120</v>
      </c>
    </row>
    <row r="528" spans="1:10">
      <c r="A528">
        <v>1321</v>
      </c>
      <c r="B528" t="s">
        <v>1284</v>
      </c>
      <c r="C528" t="s">
        <v>614</v>
      </c>
      <c r="D528">
        <v>287810</v>
      </c>
      <c r="E528" t="s">
        <v>600</v>
      </c>
      <c r="F528" t="s">
        <v>17</v>
      </c>
      <c r="G528" t="str">
        <f t="shared" si="16"/>
        <v>Yes</v>
      </c>
      <c r="H528">
        <f t="shared" si="17"/>
        <v>70</v>
      </c>
      <c r="I528" s="1">
        <f>IF(COUNTIF('Transaction Data'!A:A,A528)&gt;5,20,0)+IF(COUNTIFS('Transaction Data'!A:A,A528,'Transaction Data'!G:G,"Yes")&gt;2,30,0)</f>
        <v>0</v>
      </c>
      <c r="J528">
        <f>'Client Master Data'!I528+'Client Master Data'!J528+H528+I528</f>
        <v>120</v>
      </c>
    </row>
    <row r="529" spans="1:10">
      <c r="A529">
        <v>1374</v>
      </c>
      <c r="B529" t="s">
        <v>1285</v>
      </c>
      <c r="C529" t="s">
        <v>818</v>
      </c>
      <c r="D529">
        <v>48022</v>
      </c>
      <c r="E529" t="s">
        <v>588</v>
      </c>
      <c r="F529" t="s">
        <v>17</v>
      </c>
      <c r="G529" t="str">
        <f t="shared" si="16"/>
        <v>Yes</v>
      </c>
      <c r="H529">
        <f t="shared" si="17"/>
        <v>40</v>
      </c>
      <c r="I529" s="1">
        <f>IF(COUNTIF('Transaction Data'!A:A,A529)&gt;5,20,0)+IF(COUNTIFS('Transaction Data'!A:A,A529,'Transaction Data'!G:G,"Yes")&gt;2,30,0)</f>
        <v>0</v>
      </c>
      <c r="J529">
        <f>'Client Master Data'!I529+'Client Master Data'!J529+H529+I529</f>
        <v>90</v>
      </c>
    </row>
    <row r="530" spans="1:10">
      <c r="A530">
        <v>1346</v>
      </c>
      <c r="B530" t="s">
        <v>1286</v>
      </c>
      <c r="C530" t="s">
        <v>773</v>
      </c>
      <c r="D530">
        <v>44691</v>
      </c>
      <c r="E530" t="s">
        <v>593</v>
      </c>
      <c r="F530" t="s">
        <v>27</v>
      </c>
      <c r="G530" t="str">
        <f t="shared" si="16"/>
        <v>No</v>
      </c>
      <c r="H530">
        <f t="shared" si="17"/>
        <v>0</v>
      </c>
      <c r="I530" s="1">
        <f>IF(COUNTIF('Transaction Data'!A:A,A530)&gt;5,20,0)+IF(COUNTIFS('Transaction Data'!A:A,A530,'Transaction Data'!G:G,"Yes")&gt;2,30,0)</f>
        <v>0</v>
      </c>
      <c r="J530">
        <f>'Client Master Data'!I530+'Client Master Data'!J530+H530+I530</f>
        <v>40</v>
      </c>
    </row>
    <row r="531" spans="1:10">
      <c r="A531">
        <v>1324</v>
      </c>
      <c r="B531" t="s">
        <v>1287</v>
      </c>
      <c r="C531" t="s">
        <v>1288</v>
      </c>
      <c r="D531">
        <v>346335</v>
      </c>
      <c r="E531" t="s">
        <v>593</v>
      </c>
      <c r="F531" t="s">
        <v>27</v>
      </c>
      <c r="G531" t="str">
        <f t="shared" si="16"/>
        <v>Yes</v>
      </c>
      <c r="H531">
        <f t="shared" si="17"/>
        <v>70</v>
      </c>
      <c r="I531" s="1">
        <f>IF(COUNTIF('Transaction Data'!A:A,A531)&gt;5,20,0)+IF(COUNTIFS('Transaction Data'!A:A,A531,'Transaction Data'!G:G,"Yes")&gt;2,30,0)</f>
        <v>0</v>
      </c>
      <c r="J531">
        <f>'Client Master Data'!I531+'Client Master Data'!J531+H531+I531</f>
        <v>140</v>
      </c>
    </row>
    <row r="532" spans="1:10">
      <c r="A532">
        <v>1350</v>
      </c>
      <c r="B532" t="s">
        <v>1289</v>
      </c>
      <c r="C532" t="s">
        <v>826</v>
      </c>
      <c r="D532">
        <v>175705</v>
      </c>
      <c r="E532" t="s">
        <v>593</v>
      </c>
      <c r="F532" t="s">
        <v>54</v>
      </c>
      <c r="G532" t="str">
        <f t="shared" si="16"/>
        <v>Yes</v>
      </c>
      <c r="H532">
        <f t="shared" si="17"/>
        <v>70</v>
      </c>
      <c r="I532" s="1">
        <f>IF(COUNTIF('Transaction Data'!A:A,A532)&gt;5,20,0)+IF(COUNTIFS('Transaction Data'!A:A,A532,'Transaction Data'!G:G,"Yes")&gt;2,30,0)</f>
        <v>0</v>
      </c>
      <c r="J532">
        <f>'Client Master Data'!I532+'Client Master Data'!J532+H532+I532</f>
        <v>100</v>
      </c>
    </row>
    <row r="533" spans="1:10">
      <c r="A533">
        <v>1147</v>
      </c>
      <c r="B533" t="s">
        <v>1290</v>
      </c>
      <c r="C533" t="s">
        <v>915</v>
      </c>
      <c r="D533">
        <v>212743</v>
      </c>
      <c r="E533" t="s">
        <v>600</v>
      </c>
      <c r="F533" t="s">
        <v>23</v>
      </c>
      <c r="G533" t="str">
        <f t="shared" si="16"/>
        <v>Yes</v>
      </c>
      <c r="H533">
        <f t="shared" si="17"/>
        <v>70</v>
      </c>
      <c r="I533" s="1">
        <f>IF(COUNTIF('Transaction Data'!A:A,A533)&gt;5,20,0)+IF(COUNTIFS('Transaction Data'!A:A,A533,'Transaction Data'!G:G,"Yes")&gt;2,30,0)</f>
        <v>0</v>
      </c>
      <c r="J533">
        <f>'Client Master Data'!I533+'Client Master Data'!J533+H533+I533</f>
        <v>140</v>
      </c>
    </row>
    <row r="534" spans="1:10">
      <c r="A534">
        <v>1474</v>
      </c>
      <c r="B534" t="s">
        <v>1291</v>
      </c>
      <c r="C534" t="s">
        <v>690</v>
      </c>
      <c r="D534">
        <v>369830</v>
      </c>
      <c r="E534" t="s">
        <v>593</v>
      </c>
      <c r="F534" t="s">
        <v>17</v>
      </c>
      <c r="G534" t="str">
        <f t="shared" si="16"/>
        <v>Yes</v>
      </c>
      <c r="H534">
        <f t="shared" si="17"/>
        <v>70</v>
      </c>
      <c r="I534" s="1">
        <f>IF(COUNTIF('Transaction Data'!A:A,A534)&gt;5,20,0)+IF(COUNTIFS('Transaction Data'!A:A,A534,'Transaction Data'!G:G,"Yes")&gt;2,30,0)</f>
        <v>0</v>
      </c>
      <c r="J534">
        <f>'Client Master Data'!I534+'Client Master Data'!J534+H534+I534</f>
        <v>140</v>
      </c>
    </row>
    <row r="535" spans="1:10">
      <c r="A535">
        <v>1427</v>
      </c>
      <c r="B535" t="s">
        <v>1292</v>
      </c>
      <c r="C535" t="s">
        <v>640</v>
      </c>
      <c r="D535">
        <v>361408</v>
      </c>
      <c r="E535" t="s">
        <v>593</v>
      </c>
      <c r="F535" t="s">
        <v>27</v>
      </c>
      <c r="G535" t="str">
        <f t="shared" si="16"/>
        <v>Yes</v>
      </c>
      <c r="H535">
        <f t="shared" si="17"/>
        <v>70</v>
      </c>
      <c r="I535" s="1">
        <f>IF(COUNTIF('Transaction Data'!A:A,A535)&gt;5,20,0)+IF(COUNTIFS('Transaction Data'!A:A,A535,'Transaction Data'!G:G,"Yes")&gt;2,30,0)</f>
        <v>50</v>
      </c>
      <c r="J535">
        <f>'Client Master Data'!I535+'Client Master Data'!J535+H535+I535</f>
        <v>150</v>
      </c>
    </row>
    <row r="536" spans="1:10">
      <c r="A536">
        <v>1337</v>
      </c>
      <c r="B536" t="s">
        <v>1293</v>
      </c>
      <c r="C536" t="s">
        <v>989</v>
      </c>
      <c r="D536">
        <v>395960</v>
      </c>
      <c r="E536" t="s">
        <v>593</v>
      </c>
      <c r="F536" t="s">
        <v>27</v>
      </c>
      <c r="G536" t="str">
        <f t="shared" si="16"/>
        <v>Yes</v>
      </c>
      <c r="H536">
        <f t="shared" si="17"/>
        <v>70</v>
      </c>
      <c r="I536" s="1">
        <f>IF(COUNTIF('Transaction Data'!A:A,A536)&gt;5,20,0)+IF(COUNTIFS('Transaction Data'!A:A,A536,'Transaction Data'!G:G,"Yes")&gt;2,30,0)</f>
        <v>30</v>
      </c>
      <c r="J536">
        <f>'Client Master Data'!I536+'Client Master Data'!J536+H536+I536</f>
        <v>150</v>
      </c>
    </row>
    <row r="537" spans="1:10">
      <c r="A537">
        <v>1174</v>
      </c>
      <c r="B537" t="s">
        <v>1294</v>
      </c>
      <c r="C537" t="s">
        <v>937</v>
      </c>
      <c r="D537">
        <v>281054</v>
      </c>
      <c r="E537" t="s">
        <v>593</v>
      </c>
      <c r="F537" t="s">
        <v>27</v>
      </c>
      <c r="G537" t="str">
        <f t="shared" si="16"/>
        <v>Yes</v>
      </c>
      <c r="H537">
        <f t="shared" si="17"/>
        <v>70</v>
      </c>
      <c r="I537" s="1">
        <f>IF(COUNTIF('Transaction Data'!A:A,A537)&gt;5,20,0)+IF(COUNTIFS('Transaction Data'!A:A,A537,'Transaction Data'!G:G,"Yes")&gt;2,30,0)</f>
        <v>0</v>
      </c>
      <c r="J537">
        <f>'Client Master Data'!I537+'Client Master Data'!J537+H537+I537</f>
        <v>120</v>
      </c>
    </row>
    <row r="538" spans="1:10">
      <c r="A538">
        <v>1475</v>
      </c>
      <c r="B538" t="s">
        <v>1295</v>
      </c>
      <c r="C538" t="s">
        <v>997</v>
      </c>
      <c r="D538">
        <v>420785</v>
      </c>
      <c r="E538" t="s">
        <v>588</v>
      </c>
      <c r="F538" t="s">
        <v>27</v>
      </c>
      <c r="G538" t="str">
        <f t="shared" si="16"/>
        <v>Yes</v>
      </c>
      <c r="H538">
        <f t="shared" si="17"/>
        <v>70</v>
      </c>
      <c r="I538" s="1">
        <f>IF(COUNTIF('Transaction Data'!A:A,A538)&gt;5,20,0)+IF(COUNTIFS('Transaction Data'!A:A,A538,'Transaction Data'!G:G,"Yes")&gt;2,30,0)</f>
        <v>30</v>
      </c>
      <c r="J538">
        <f>'Client Master Data'!I538+'Client Master Data'!J538+H538+I538</f>
        <v>150</v>
      </c>
    </row>
    <row r="539" spans="1:10">
      <c r="A539">
        <v>1490</v>
      </c>
      <c r="B539" t="s">
        <v>1296</v>
      </c>
      <c r="C539" t="s">
        <v>967</v>
      </c>
      <c r="D539">
        <v>334189</v>
      </c>
      <c r="E539" t="s">
        <v>600</v>
      </c>
      <c r="F539" t="s">
        <v>39</v>
      </c>
      <c r="G539" t="str">
        <f t="shared" si="16"/>
        <v>Yes</v>
      </c>
      <c r="H539">
        <f t="shared" si="17"/>
        <v>70</v>
      </c>
      <c r="I539" s="1">
        <f>IF(COUNTIF('Transaction Data'!A:A,A539)&gt;5,20,0)+IF(COUNTIFS('Transaction Data'!A:A,A539,'Transaction Data'!G:G,"Yes")&gt;2,30,0)</f>
        <v>30</v>
      </c>
      <c r="J539">
        <f>'Client Master Data'!I539+'Client Master Data'!J539+H539+I539</f>
        <v>140</v>
      </c>
    </row>
    <row r="540" spans="1:10">
      <c r="A540">
        <v>1336</v>
      </c>
      <c r="B540" t="s">
        <v>1297</v>
      </c>
      <c r="C540" t="s">
        <v>1036</v>
      </c>
      <c r="D540">
        <v>400019</v>
      </c>
      <c r="E540" t="s">
        <v>600</v>
      </c>
      <c r="F540" t="s">
        <v>27</v>
      </c>
      <c r="G540" t="str">
        <f t="shared" si="16"/>
        <v>Yes</v>
      </c>
      <c r="H540">
        <f t="shared" si="17"/>
        <v>70</v>
      </c>
      <c r="I540" s="1">
        <f>IF(COUNTIF('Transaction Data'!A:A,A540)&gt;5,20,0)+IF(COUNTIFS('Transaction Data'!A:A,A540,'Transaction Data'!G:G,"Yes")&gt;2,30,0)</f>
        <v>30</v>
      </c>
      <c r="J540">
        <f>'Client Master Data'!I540+'Client Master Data'!J540+H540+I540</f>
        <v>120</v>
      </c>
    </row>
    <row r="541" spans="1:10">
      <c r="A541">
        <v>1251</v>
      </c>
      <c r="B541" t="s">
        <v>1298</v>
      </c>
      <c r="C541" t="s">
        <v>919</v>
      </c>
      <c r="D541">
        <v>430178</v>
      </c>
      <c r="E541" t="s">
        <v>593</v>
      </c>
      <c r="F541" t="s">
        <v>54</v>
      </c>
      <c r="G541" t="str">
        <f t="shared" si="16"/>
        <v>Yes</v>
      </c>
      <c r="H541">
        <f t="shared" si="17"/>
        <v>70</v>
      </c>
      <c r="I541" s="1">
        <f>IF(COUNTIF('Transaction Data'!A:A,A541)&gt;5,20,0)+IF(COUNTIFS('Transaction Data'!A:A,A541,'Transaction Data'!G:G,"Yes")&gt;2,30,0)</f>
        <v>30</v>
      </c>
      <c r="J541">
        <f>'Client Master Data'!I541+'Client Master Data'!J541+H541+I541</f>
        <v>150</v>
      </c>
    </row>
    <row r="542" spans="1:10">
      <c r="A542">
        <v>1304</v>
      </c>
      <c r="B542" t="s">
        <v>1299</v>
      </c>
      <c r="C542" t="s">
        <v>762</v>
      </c>
      <c r="D542">
        <v>53450</v>
      </c>
      <c r="E542" t="s">
        <v>588</v>
      </c>
      <c r="F542" t="s">
        <v>11</v>
      </c>
      <c r="G542" t="str">
        <f t="shared" si="16"/>
        <v>No</v>
      </c>
      <c r="H542">
        <f t="shared" si="17"/>
        <v>0</v>
      </c>
      <c r="I542" s="1">
        <f>IF(COUNTIF('Transaction Data'!A:A,A542)&gt;5,20,0)+IF(COUNTIFS('Transaction Data'!A:A,A542,'Transaction Data'!G:G,"Yes")&gt;2,30,0)</f>
        <v>0</v>
      </c>
      <c r="J542">
        <f>'Client Master Data'!I542+'Client Master Data'!J542+H542+I542</f>
        <v>40</v>
      </c>
    </row>
    <row r="543" spans="1:10">
      <c r="A543">
        <v>1068</v>
      </c>
      <c r="B543" t="s">
        <v>1300</v>
      </c>
      <c r="C543" t="s">
        <v>592</v>
      </c>
      <c r="D543">
        <v>183761</v>
      </c>
      <c r="E543" t="s">
        <v>593</v>
      </c>
      <c r="F543" t="s">
        <v>54</v>
      </c>
      <c r="G543" t="str">
        <f t="shared" si="16"/>
        <v>Yes</v>
      </c>
      <c r="H543">
        <f t="shared" si="17"/>
        <v>70</v>
      </c>
      <c r="I543" s="1">
        <f>IF(COUNTIF('Transaction Data'!A:A,A543)&gt;5,20,0)+IF(COUNTIFS('Transaction Data'!A:A,A543,'Transaction Data'!G:G,"Yes")&gt;2,30,0)</f>
        <v>0</v>
      </c>
      <c r="J543">
        <f>'Client Master Data'!I543+'Client Master Data'!J543+H543+I543</f>
        <v>130</v>
      </c>
    </row>
    <row r="544" spans="1:10">
      <c r="A544">
        <v>1448</v>
      </c>
      <c r="B544" t="s">
        <v>1301</v>
      </c>
      <c r="C544" t="s">
        <v>656</v>
      </c>
      <c r="D544">
        <v>236706</v>
      </c>
      <c r="E544" t="s">
        <v>593</v>
      </c>
      <c r="F544" t="s">
        <v>54</v>
      </c>
      <c r="G544" t="str">
        <f t="shared" si="16"/>
        <v>Yes</v>
      </c>
      <c r="H544">
        <f t="shared" si="17"/>
        <v>70</v>
      </c>
      <c r="I544" s="1">
        <f>IF(COUNTIF('Transaction Data'!A:A,A544)&gt;5,20,0)+IF(COUNTIFS('Transaction Data'!A:A,A544,'Transaction Data'!G:G,"Yes")&gt;2,30,0)</f>
        <v>30</v>
      </c>
      <c r="J544">
        <f>'Client Master Data'!I544+'Client Master Data'!J544+H544+I544</f>
        <v>160</v>
      </c>
    </row>
    <row r="545" spans="1:10">
      <c r="A545">
        <v>1427</v>
      </c>
      <c r="B545" t="s">
        <v>1302</v>
      </c>
      <c r="C545" t="s">
        <v>930</v>
      </c>
      <c r="D545">
        <v>236585</v>
      </c>
      <c r="E545" t="s">
        <v>588</v>
      </c>
      <c r="F545" t="s">
        <v>17</v>
      </c>
      <c r="G545" t="str">
        <f t="shared" si="16"/>
        <v>Yes</v>
      </c>
      <c r="H545">
        <f t="shared" si="17"/>
        <v>70</v>
      </c>
      <c r="I545" s="1">
        <f>IF(COUNTIF('Transaction Data'!A:A,A545)&gt;5,20,0)+IF(COUNTIFS('Transaction Data'!A:A,A545,'Transaction Data'!G:G,"Yes")&gt;2,30,0)</f>
        <v>50</v>
      </c>
      <c r="J545">
        <f>'Client Master Data'!I545+'Client Master Data'!J545+H545+I545</f>
        <v>170</v>
      </c>
    </row>
    <row r="546" spans="1:10">
      <c r="A546">
        <v>1312</v>
      </c>
      <c r="B546" t="s">
        <v>1303</v>
      </c>
      <c r="C546" t="s">
        <v>627</v>
      </c>
      <c r="D546">
        <v>150931</v>
      </c>
      <c r="E546" t="s">
        <v>600</v>
      </c>
      <c r="F546" t="s">
        <v>54</v>
      </c>
      <c r="G546" t="str">
        <f t="shared" si="16"/>
        <v>Yes</v>
      </c>
      <c r="H546">
        <f t="shared" si="17"/>
        <v>70</v>
      </c>
      <c r="I546" s="1">
        <f>IF(COUNTIF('Transaction Data'!A:A,A546)&gt;5,20,0)+IF(COUNTIFS('Transaction Data'!A:A,A546,'Transaction Data'!G:G,"Yes")&gt;2,30,0)</f>
        <v>0</v>
      </c>
      <c r="J546">
        <f>'Client Master Data'!I546+'Client Master Data'!J546+H546+I546</f>
        <v>90</v>
      </c>
    </row>
    <row r="547" spans="1:10">
      <c r="A547">
        <v>1279</v>
      </c>
      <c r="B547" t="s">
        <v>1304</v>
      </c>
      <c r="C547" t="s">
        <v>919</v>
      </c>
      <c r="D547">
        <v>295652</v>
      </c>
      <c r="E547" t="s">
        <v>588</v>
      </c>
      <c r="F547" t="s">
        <v>17</v>
      </c>
      <c r="G547" t="str">
        <f t="shared" si="16"/>
        <v>Yes</v>
      </c>
      <c r="H547">
        <f t="shared" si="17"/>
        <v>70</v>
      </c>
      <c r="I547" s="1">
        <f>IF(COUNTIF('Transaction Data'!A:A,A547)&gt;5,20,0)+IF(COUNTIFS('Transaction Data'!A:A,A547,'Transaction Data'!G:G,"Yes")&gt;2,30,0)</f>
        <v>0</v>
      </c>
      <c r="J547">
        <f>'Client Master Data'!I547+'Client Master Data'!J547+H547+I547</f>
        <v>120</v>
      </c>
    </row>
    <row r="548" spans="1:10">
      <c r="A548">
        <v>1375</v>
      </c>
      <c r="B548" t="s">
        <v>1305</v>
      </c>
      <c r="C548" t="s">
        <v>758</v>
      </c>
      <c r="D548">
        <v>261200</v>
      </c>
      <c r="E548" t="s">
        <v>593</v>
      </c>
      <c r="F548" t="s">
        <v>54</v>
      </c>
      <c r="G548" t="str">
        <f t="shared" si="16"/>
        <v>Yes</v>
      </c>
      <c r="H548">
        <f t="shared" si="17"/>
        <v>70</v>
      </c>
      <c r="I548" s="1">
        <f>IF(COUNTIF('Transaction Data'!A:A,A548)&gt;5,20,0)+IF(COUNTIFS('Transaction Data'!A:A,A548,'Transaction Data'!G:G,"Yes")&gt;2,30,0)</f>
        <v>30</v>
      </c>
      <c r="J548">
        <f>'Client Master Data'!I548+'Client Master Data'!J548+H548+I548</f>
        <v>130</v>
      </c>
    </row>
    <row r="549" spans="1:10">
      <c r="A549">
        <v>1093</v>
      </c>
      <c r="B549" t="s">
        <v>1306</v>
      </c>
      <c r="C549" t="s">
        <v>989</v>
      </c>
      <c r="D549">
        <v>77188</v>
      </c>
      <c r="E549" t="s">
        <v>588</v>
      </c>
      <c r="F549" t="s">
        <v>39</v>
      </c>
      <c r="G549" t="str">
        <f t="shared" si="16"/>
        <v>No</v>
      </c>
      <c r="H549">
        <f t="shared" si="17"/>
        <v>0</v>
      </c>
      <c r="I549" s="1">
        <f>IF(COUNTIF('Transaction Data'!A:A,A549)&gt;5,20,0)+IF(COUNTIFS('Transaction Data'!A:A,A549,'Transaction Data'!G:G,"Yes")&gt;2,30,0)</f>
        <v>0</v>
      </c>
      <c r="J549">
        <f>'Client Master Data'!I549+'Client Master Data'!J549+H549+I549</f>
        <v>30</v>
      </c>
    </row>
    <row r="550" spans="1:10">
      <c r="A550">
        <v>1276</v>
      </c>
      <c r="B550" t="s">
        <v>1307</v>
      </c>
      <c r="C550" t="s">
        <v>1308</v>
      </c>
      <c r="D550">
        <v>171930</v>
      </c>
      <c r="E550" t="s">
        <v>588</v>
      </c>
      <c r="F550" t="s">
        <v>11</v>
      </c>
      <c r="G550" t="str">
        <f t="shared" si="16"/>
        <v>Yes</v>
      </c>
      <c r="H550">
        <f t="shared" si="17"/>
        <v>70</v>
      </c>
      <c r="I550" s="1">
        <f>IF(COUNTIF('Transaction Data'!A:A,A550)&gt;5,20,0)+IF(COUNTIFS('Transaction Data'!A:A,A550,'Transaction Data'!G:G,"Yes")&gt;2,30,0)</f>
        <v>30</v>
      </c>
      <c r="J550">
        <f>'Client Master Data'!I550+'Client Master Data'!J550+H550+I550</f>
        <v>130</v>
      </c>
    </row>
    <row r="551" spans="1:10">
      <c r="A551">
        <v>1541</v>
      </c>
      <c r="B551" t="s">
        <v>1309</v>
      </c>
      <c r="C551" t="s">
        <v>785</v>
      </c>
      <c r="D551">
        <v>256833</v>
      </c>
      <c r="E551" t="s">
        <v>588</v>
      </c>
      <c r="F551" t="s">
        <v>39</v>
      </c>
      <c r="G551" t="str">
        <f t="shared" si="16"/>
        <v>Yes</v>
      </c>
      <c r="H551">
        <f t="shared" si="17"/>
        <v>70</v>
      </c>
      <c r="I551" s="1">
        <f>IF(COUNTIF('Transaction Data'!A:A,A551)&gt;5,20,0)+IF(COUNTIFS('Transaction Data'!A:A,A551,'Transaction Data'!G:G,"Yes")&gt;2,30,0)</f>
        <v>30</v>
      </c>
      <c r="J551">
        <f>'Client Master Data'!I551+'Client Master Data'!J551+H551+I551</f>
        <v>120</v>
      </c>
    </row>
    <row r="552" spans="1:10">
      <c r="A552">
        <v>1364</v>
      </c>
      <c r="B552" t="s">
        <v>1310</v>
      </c>
      <c r="C552" t="s">
        <v>820</v>
      </c>
      <c r="D552">
        <v>55280</v>
      </c>
      <c r="E552" t="s">
        <v>588</v>
      </c>
      <c r="F552" t="s">
        <v>17</v>
      </c>
      <c r="G552" t="str">
        <f t="shared" si="16"/>
        <v>Yes</v>
      </c>
      <c r="H552">
        <f t="shared" si="17"/>
        <v>40</v>
      </c>
      <c r="I552" s="1">
        <f>IF(COUNTIF('Transaction Data'!A:A,A552)&gt;5,20,0)+IF(COUNTIFS('Transaction Data'!A:A,A552,'Transaction Data'!G:G,"Yes")&gt;2,30,0)</f>
        <v>0</v>
      </c>
      <c r="J552">
        <f>'Client Master Data'!I552+'Client Master Data'!J552+H552+I552</f>
        <v>40</v>
      </c>
    </row>
    <row r="553" spans="1:10">
      <c r="A553">
        <v>1193</v>
      </c>
      <c r="B553" t="s">
        <v>1311</v>
      </c>
      <c r="C553" t="s">
        <v>1194</v>
      </c>
      <c r="D553">
        <v>229888</v>
      </c>
      <c r="E553" t="s">
        <v>593</v>
      </c>
      <c r="F553" t="s">
        <v>27</v>
      </c>
      <c r="G553" t="str">
        <f t="shared" si="16"/>
        <v>Yes</v>
      </c>
      <c r="H553">
        <f t="shared" si="17"/>
        <v>70</v>
      </c>
      <c r="I553" s="1">
        <f>IF(COUNTIF('Transaction Data'!A:A,A553)&gt;5,20,0)+IF(COUNTIFS('Transaction Data'!A:A,A553,'Transaction Data'!G:G,"Yes")&gt;2,30,0)</f>
        <v>0</v>
      </c>
      <c r="J553">
        <f>'Client Master Data'!I553+'Client Master Data'!J553+H553+I553</f>
        <v>70</v>
      </c>
    </row>
    <row r="554" spans="1:10">
      <c r="A554">
        <v>1408</v>
      </c>
      <c r="B554" t="s">
        <v>1312</v>
      </c>
      <c r="C554" t="s">
        <v>587</v>
      </c>
      <c r="D554">
        <v>432322</v>
      </c>
      <c r="E554" t="s">
        <v>588</v>
      </c>
      <c r="F554" t="s">
        <v>11</v>
      </c>
      <c r="G554" t="str">
        <f t="shared" si="16"/>
        <v>Yes</v>
      </c>
      <c r="H554">
        <f t="shared" si="17"/>
        <v>70</v>
      </c>
      <c r="I554" s="1">
        <f>IF(COUNTIF('Transaction Data'!A:A,A554)&gt;5,20,0)+IF(COUNTIFS('Transaction Data'!A:A,A554,'Transaction Data'!G:G,"Yes")&gt;2,30,0)</f>
        <v>0</v>
      </c>
      <c r="J554">
        <f>'Client Master Data'!I554+'Client Master Data'!J554+H554+I554</f>
        <v>70</v>
      </c>
    </row>
    <row r="555" spans="1:10">
      <c r="A555">
        <v>1548</v>
      </c>
      <c r="B555" t="s">
        <v>1313</v>
      </c>
      <c r="C555" t="s">
        <v>1179</v>
      </c>
      <c r="D555">
        <v>339427</v>
      </c>
      <c r="E555" t="s">
        <v>593</v>
      </c>
      <c r="F555" t="s">
        <v>11</v>
      </c>
      <c r="G555" t="str">
        <f t="shared" si="16"/>
        <v>Yes</v>
      </c>
      <c r="H555">
        <f t="shared" si="17"/>
        <v>70</v>
      </c>
      <c r="I555" s="1">
        <f>IF(COUNTIF('Transaction Data'!A:A,A555)&gt;5,20,0)+IF(COUNTIFS('Transaction Data'!A:A,A555,'Transaction Data'!G:G,"Yes")&gt;2,30,0)</f>
        <v>50</v>
      </c>
      <c r="J555">
        <f>'Client Master Data'!I555+'Client Master Data'!J555+H555+I555</f>
        <v>120</v>
      </c>
    </row>
    <row r="556" spans="1:10">
      <c r="A556">
        <v>1451</v>
      </c>
      <c r="B556" t="s">
        <v>1314</v>
      </c>
      <c r="C556" t="s">
        <v>981</v>
      </c>
      <c r="D556">
        <v>399092</v>
      </c>
      <c r="E556" t="s">
        <v>593</v>
      </c>
      <c r="F556" t="s">
        <v>39</v>
      </c>
      <c r="G556" t="str">
        <f t="shared" si="16"/>
        <v>Yes</v>
      </c>
      <c r="H556">
        <f t="shared" si="17"/>
        <v>70</v>
      </c>
      <c r="I556" s="1">
        <f>IF(COUNTIF('Transaction Data'!A:A,A556)&gt;5,20,0)+IF(COUNTIFS('Transaction Data'!A:A,A556,'Transaction Data'!G:G,"Yes")&gt;2,30,0)</f>
        <v>30</v>
      </c>
      <c r="J556">
        <f>'Client Master Data'!I556+'Client Master Data'!J556+H556+I556</f>
        <v>100</v>
      </c>
    </row>
    <row r="557" spans="1:10">
      <c r="A557">
        <v>1088</v>
      </c>
      <c r="B557" t="s">
        <v>1315</v>
      </c>
      <c r="C557" t="s">
        <v>694</v>
      </c>
      <c r="D557">
        <v>57236</v>
      </c>
      <c r="E557" t="s">
        <v>600</v>
      </c>
      <c r="F557" t="s">
        <v>39</v>
      </c>
      <c r="G557" t="str">
        <f t="shared" si="16"/>
        <v>No</v>
      </c>
      <c r="H557">
        <f t="shared" si="17"/>
        <v>0</v>
      </c>
      <c r="I557" s="1">
        <f>IF(COUNTIF('Transaction Data'!A:A,A557)&gt;5,20,0)+IF(COUNTIFS('Transaction Data'!A:A,A557,'Transaction Data'!G:G,"Yes")&gt;2,30,0)</f>
        <v>0</v>
      </c>
      <c r="J557">
        <f>'Client Master Data'!I557+'Client Master Data'!J557+H557+I557</f>
        <v>0</v>
      </c>
    </row>
    <row r="558" spans="1:10">
      <c r="A558">
        <v>1509</v>
      </c>
      <c r="B558" t="s">
        <v>1316</v>
      </c>
      <c r="C558" t="s">
        <v>861</v>
      </c>
      <c r="D558">
        <v>355541</v>
      </c>
      <c r="E558" t="s">
        <v>600</v>
      </c>
      <c r="F558" t="s">
        <v>27</v>
      </c>
      <c r="G558" t="str">
        <f t="shared" si="16"/>
        <v>Yes</v>
      </c>
      <c r="H558">
        <f t="shared" si="17"/>
        <v>70</v>
      </c>
      <c r="I558" s="1">
        <f>IF(COUNTIF('Transaction Data'!A:A,A558)&gt;5,20,0)+IF(COUNTIFS('Transaction Data'!A:A,A558,'Transaction Data'!G:G,"Yes")&gt;2,30,0)</f>
        <v>0</v>
      </c>
      <c r="J558">
        <f>'Client Master Data'!I558+'Client Master Data'!J558+H558+I558</f>
        <v>70</v>
      </c>
    </row>
    <row r="559" spans="1:10">
      <c r="A559">
        <v>1371</v>
      </c>
      <c r="B559" t="s">
        <v>1317</v>
      </c>
      <c r="C559" t="s">
        <v>912</v>
      </c>
      <c r="D559">
        <v>295692</v>
      </c>
      <c r="E559" t="s">
        <v>588</v>
      </c>
      <c r="F559" t="s">
        <v>17</v>
      </c>
      <c r="G559" t="str">
        <f t="shared" si="16"/>
        <v>Yes</v>
      </c>
      <c r="H559">
        <f t="shared" si="17"/>
        <v>70</v>
      </c>
      <c r="I559" s="1">
        <f>IF(COUNTIF('Transaction Data'!A:A,A559)&gt;5,20,0)+IF(COUNTIFS('Transaction Data'!A:A,A559,'Transaction Data'!G:G,"Yes")&gt;2,30,0)</f>
        <v>0</v>
      </c>
      <c r="J559">
        <f>'Client Master Data'!I559+'Client Master Data'!J559+H559+I559</f>
        <v>70</v>
      </c>
    </row>
    <row r="560" spans="1:10">
      <c r="A560">
        <v>1503</v>
      </c>
      <c r="B560" t="s">
        <v>1318</v>
      </c>
      <c r="C560" t="s">
        <v>948</v>
      </c>
      <c r="D560">
        <v>413859</v>
      </c>
      <c r="E560" t="s">
        <v>600</v>
      </c>
      <c r="F560" t="s">
        <v>39</v>
      </c>
      <c r="G560" t="str">
        <f t="shared" si="16"/>
        <v>Yes</v>
      </c>
      <c r="H560">
        <f t="shared" si="17"/>
        <v>70</v>
      </c>
      <c r="I560" s="1">
        <f>IF(COUNTIF('Transaction Data'!A:A,A560)&gt;5,20,0)+IF(COUNTIFS('Transaction Data'!A:A,A560,'Transaction Data'!G:G,"Yes")&gt;2,30,0)</f>
        <v>0</v>
      </c>
      <c r="J560">
        <f>'Client Master Data'!I560+'Client Master Data'!J560+H560+I560</f>
        <v>70</v>
      </c>
    </row>
    <row r="561" spans="1:10">
      <c r="A561">
        <v>1436</v>
      </c>
      <c r="B561" t="s">
        <v>1319</v>
      </c>
      <c r="C561" t="s">
        <v>984</v>
      </c>
      <c r="D561">
        <v>216376</v>
      </c>
      <c r="E561" t="s">
        <v>600</v>
      </c>
      <c r="F561" t="s">
        <v>11</v>
      </c>
      <c r="G561" t="str">
        <f t="shared" si="16"/>
        <v>Yes</v>
      </c>
      <c r="H561">
        <f t="shared" si="17"/>
        <v>70</v>
      </c>
      <c r="I561" s="1">
        <f>IF(COUNTIF('Transaction Data'!A:A,A561)&gt;5,20,0)+IF(COUNTIFS('Transaction Data'!A:A,A561,'Transaction Data'!G:G,"Yes")&gt;2,30,0)</f>
        <v>0</v>
      </c>
      <c r="J561">
        <f>'Client Master Data'!I561+'Client Master Data'!J561+H561+I561</f>
        <v>70</v>
      </c>
    </row>
    <row r="562" spans="1:10">
      <c r="A562">
        <v>1337</v>
      </c>
      <c r="B562" t="s">
        <v>1320</v>
      </c>
      <c r="C562" t="s">
        <v>623</v>
      </c>
      <c r="D562">
        <v>361138</v>
      </c>
      <c r="E562" t="s">
        <v>588</v>
      </c>
      <c r="F562" t="s">
        <v>17</v>
      </c>
      <c r="G562" t="str">
        <f t="shared" si="16"/>
        <v>Yes</v>
      </c>
      <c r="H562">
        <f t="shared" si="17"/>
        <v>70</v>
      </c>
      <c r="I562" s="1">
        <f>IF(COUNTIF('Transaction Data'!A:A,A562)&gt;5,20,0)+IF(COUNTIFS('Transaction Data'!A:A,A562,'Transaction Data'!G:G,"Yes")&gt;2,30,0)</f>
        <v>30</v>
      </c>
      <c r="J562">
        <f>'Client Master Data'!I562+'Client Master Data'!J562+H562+I562</f>
        <v>100</v>
      </c>
    </row>
    <row r="563" spans="1:10">
      <c r="A563">
        <v>1011</v>
      </c>
      <c r="B563" t="s">
        <v>1321</v>
      </c>
      <c r="C563" t="s">
        <v>627</v>
      </c>
      <c r="D563">
        <v>114735</v>
      </c>
      <c r="E563" t="s">
        <v>593</v>
      </c>
      <c r="F563" t="s">
        <v>17</v>
      </c>
      <c r="G563" t="str">
        <f t="shared" si="16"/>
        <v>Yes</v>
      </c>
      <c r="H563">
        <f t="shared" si="17"/>
        <v>70</v>
      </c>
      <c r="I563" s="1">
        <f>IF(COUNTIF('Transaction Data'!A:A,A563)&gt;5,20,0)+IF(COUNTIFS('Transaction Data'!A:A,A563,'Transaction Data'!G:G,"Yes")&gt;2,30,0)</f>
        <v>0</v>
      </c>
      <c r="J563">
        <f>'Client Master Data'!I563+'Client Master Data'!J563+H563+I563</f>
        <v>70</v>
      </c>
    </row>
    <row r="564" spans="1:10">
      <c r="A564">
        <v>1482</v>
      </c>
      <c r="B564" t="s">
        <v>1322</v>
      </c>
      <c r="C564" t="s">
        <v>694</v>
      </c>
      <c r="D564">
        <v>387714</v>
      </c>
      <c r="E564" t="s">
        <v>600</v>
      </c>
      <c r="F564" t="s">
        <v>39</v>
      </c>
      <c r="G564" t="str">
        <f t="shared" si="16"/>
        <v>Yes</v>
      </c>
      <c r="H564">
        <f t="shared" si="17"/>
        <v>70</v>
      </c>
      <c r="I564" s="1">
        <f>IF(COUNTIF('Transaction Data'!A:A,A564)&gt;5,20,0)+IF(COUNTIFS('Transaction Data'!A:A,A564,'Transaction Data'!G:G,"Yes")&gt;2,30,0)</f>
        <v>30</v>
      </c>
      <c r="J564">
        <f>'Client Master Data'!I564+'Client Master Data'!J564+H564+I564</f>
        <v>100</v>
      </c>
    </row>
    <row r="565" spans="1:10">
      <c r="A565">
        <v>1343</v>
      </c>
      <c r="B565" t="s">
        <v>1323</v>
      </c>
      <c r="C565" t="s">
        <v>1324</v>
      </c>
      <c r="D565">
        <v>267608</v>
      </c>
      <c r="E565" t="s">
        <v>593</v>
      </c>
      <c r="F565" t="s">
        <v>54</v>
      </c>
      <c r="G565" t="str">
        <f t="shared" si="16"/>
        <v>Yes</v>
      </c>
      <c r="H565">
        <f t="shared" si="17"/>
        <v>70</v>
      </c>
      <c r="I565" s="1">
        <f>IF(COUNTIF('Transaction Data'!A:A,A565)&gt;5,20,0)+IF(COUNTIFS('Transaction Data'!A:A,A565,'Transaction Data'!G:G,"Yes")&gt;2,30,0)</f>
        <v>0</v>
      </c>
      <c r="J565">
        <f>'Client Master Data'!I565+'Client Master Data'!J565+H565+I565</f>
        <v>70</v>
      </c>
    </row>
    <row r="566" spans="1:10">
      <c r="A566">
        <v>1349</v>
      </c>
      <c r="B566" t="s">
        <v>1325</v>
      </c>
      <c r="C566" t="s">
        <v>908</v>
      </c>
      <c r="D566">
        <v>483731</v>
      </c>
      <c r="E566" t="s">
        <v>593</v>
      </c>
      <c r="F566" t="s">
        <v>17</v>
      </c>
      <c r="G566" t="str">
        <f t="shared" si="16"/>
        <v>Yes</v>
      </c>
      <c r="H566">
        <f t="shared" si="17"/>
        <v>70</v>
      </c>
      <c r="I566" s="1">
        <f>IF(COUNTIF('Transaction Data'!A:A,A566)&gt;5,20,0)+IF(COUNTIFS('Transaction Data'!A:A,A566,'Transaction Data'!G:G,"Yes")&gt;2,30,0)</f>
        <v>0</v>
      </c>
      <c r="J566">
        <f>'Client Master Data'!I566+'Client Master Data'!J566+H566+I566</f>
        <v>70</v>
      </c>
    </row>
    <row r="567" spans="1:10">
      <c r="A567">
        <v>1305</v>
      </c>
      <c r="B567" t="s">
        <v>1326</v>
      </c>
      <c r="C567" t="s">
        <v>1028</v>
      </c>
      <c r="D567">
        <v>499045</v>
      </c>
      <c r="E567" t="s">
        <v>593</v>
      </c>
      <c r="F567" t="s">
        <v>11</v>
      </c>
      <c r="G567" t="str">
        <f t="shared" si="16"/>
        <v>Yes</v>
      </c>
      <c r="H567">
        <f t="shared" si="17"/>
        <v>70</v>
      </c>
      <c r="I567" s="1">
        <f>IF(COUNTIF('Transaction Data'!A:A,A567)&gt;5,20,0)+IF(COUNTIFS('Transaction Data'!A:A,A567,'Transaction Data'!G:G,"Yes")&gt;2,30,0)</f>
        <v>0</v>
      </c>
      <c r="J567">
        <f>'Client Master Data'!I567+'Client Master Data'!J567+H567+I567</f>
        <v>70</v>
      </c>
    </row>
    <row r="568" spans="1:10">
      <c r="A568">
        <v>1069</v>
      </c>
      <c r="B568" t="s">
        <v>1327</v>
      </c>
      <c r="C568" t="s">
        <v>592</v>
      </c>
      <c r="D568">
        <v>91693</v>
      </c>
      <c r="E568" t="s">
        <v>588</v>
      </c>
      <c r="F568" t="s">
        <v>39</v>
      </c>
      <c r="G568" t="str">
        <f t="shared" si="16"/>
        <v>No</v>
      </c>
      <c r="H568">
        <f t="shared" si="17"/>
        <v>0</v>
      </c>
      <c r="I568" s="1">
        <f>IF(COUNTIF('Transaction Data'!A:A,A568)&gt;5,20,0)+IF(COUNTIFS('Transaction Data'!A:A,A568,'Transaction Data'!G:G,"Yes")&gt;2,30,0)</f>
        <v>0</v>
      </c>
      <c r="J568">
        <f>'Client Master Data'!I568+'Client Master Data'!J568+H568+I568</f>
        <v>0</v>
      </c>
    </row>
    <row r="569" spans="1:10">
      <c r="A569">
        <v>1173</v>
      </c>
      <c r="B569" t="s">
        <v>1328</v>
      </c>
      <c r="C569" t="s">
        <v>1127</v>
      </c>
      <c r="D569">
        <v>407000</v>
      </c>
      <c r="E569" t="s">
        <v>588</v>
      </c>
      <c r="F569" t="s">
        <v>54</v>
      </c>
      <c r="G569" t="str">
        <f t="shared" si="16"/>
        <v>Yes</v>
      </c>
      <c r="H569">
        <f t="shared" si="17"/>
        <v>70</v>
      </c>
      <c r="I569" s="1">
        <f>IF(COUNTIF('Transaction Data'!A:A,A569)&gt;5,20,0)+IF(COUNTIFS('Transaction Data'!A:A,A569,'Transaction Data'!G:G,"Yes")&gt;2,30,0)</f>
        <v>30</v>
      </c>
      <c r="J569">
        <f>'Client Master Data'!I569+'Client Master Data'!J569+H569+I569</f>
        <v>100</v>
      </c>
    </row>
    <row r="570" spans="1:10">
      <c r="A570">
        <v>1052</v>
      </c>
      <c r="B570" t="s">
        <v>1329</v>
      </c>
      <c r="C570" t="s">
        <v>1031</v>
      </c>
      <c r="D570">
        <v>72254</v>
      </c>
      <c r="E570" t="s">
        <v>593</v>
      </c>
      <c r="F570" t="s">
        <v>11</v>
      </c>
      <c r="G570" t="str">
        <f t="shared" si="16"/>
        <v>No</v>
      </c>
      <c r="H570">
        <f t="shared" si="17"/>
        <v>0</v>
      </c>
      <c r="I570" s="1">
        <f>IF(COUNTIF('Transaction Data'!A:A,A570)&gt;5,20,0)+IF(COUNTIFS('Transaction Data'!A:A,A570,'Transaction Data'!G:G,"Yes")&gt;2,30,0)</f>
        <v>0</v>
      </c>
      <c r="J570">
        <f>'Client Master Data'!I570+'Client Master Data'!J570+H570+I570</f>
        <v>0</v>
      </c>
    </row>
    <row r="571" spans="1:10">
      <c r="A571">
        <v>1463</v>
      </c>
      <c r="B571" t="s">
        <v>1330</v>
      </c>
      <c r="C571" t="s">
        <v>687</v>
      </c>
      <c r="D571">
        <v>465469</v>
      </c>
      <c r="E571" t="s">
        <v>593</v>
      </c>
      <c r="F571" t="s">
        <v>17</v>
      </c>
      <c r="G571" t="str">
        <f t="shared" si="16"/>
        <v>Yes</v>
      </c>
      <c r="H571">
        <f t="shared" si="17"/>
        <v>70</v>
      </c>
      <c r="I571" s="1">
        <f>IF(COUNTIF('Transaction Data'!A:A,A571)&gt;5,20,0)+IF(COUNTIFS('Transaction Data'!A:A,A571,'Transaction Data'!G:G,"Yes")&gt;2,30,0)</f>
        <v>0</v>
      </c>
      <c r="J571">
        <f>'Client Master Data'!I571+'Client Master Data'!J571+H571+I571</f>
        <v>70</v>
      </c>
    </row>
    <row r="572" spans="1:10">
      <c r="A572">
        <v>1405</v>
      </c>
      <c r="B572" t="s">
        <v>1331</v>
      </c>
      <c r="C572" t="s">
        <v>876</v>
      </c>
      <c r="D572">
        <v>389321</v>
      </c>
      <c r="E572" t="s">
        <v>593</v>
      </c>
      <c r="F572" t="s">
        <v>39</v>
      </c>
      <c r="G572" t="str">
        <f t="shared" si="16"/>
        <v>Yes</v>
      </c>
      <c r="H572">
        <f t="shared" si="17"/>
        <v>70</v>
      </c>
      <c r="I572" s="1">
        <f>IF(COUNTIF('Transaction Data'!A:A,A572)&gt;5,20,0)+IF(COUNTIFS('Transaction Data'!A:A,A572,'Transaction Data'!G:G,"Yes")&gt;2,30,0)</f>
        <v>30</v>
      </c>
      <c r="J572">
        <f>'Client Master Data'!I572+'Client Master Data'!J572+H572+I572</f>
        <v>100</v>
      </c>
    </row>
    <row r="573" spans="1:10">
      <c r="A573">
        <v>1085</v>
      </c>
      <c r="B573" t="s">
        <v>1332</v>
      </c>
      <c r="C573" t="s">
        <v>599</v>
      </c>
      <c r="D573">
        <v>494629</v>
      </c>
      <c r="E573" t="s">
        <v>593</v>
      </c>
      <c r="F573" t="s">
        <v>27</v>
      </c>
      <c r="G573" t="str">
        <f t="shared" si="16"/>
        <v>Yes</v>
      </c>
      <c r="H573">
        <f t="shared" si="17"/>
        <v>70</v>
      </c>
      <c r="I573" s="1">
        <f>IF(COUNTIF('Transaction Data'!A:A,A573)&gt;5,20,0)+IF(COUNTIFS('Transaction Data'!A:A,A573,'Transaction Data'!G:G,"Yes")&gt;2,30,0)</f>
        <v>0</v>
      </c>
      <c r="J573">
        <f>'Client Master Data'!I573+'Client Master Data'!J573+H573+I573</f>
        <v>70</v>
      </c>
    </row>
    <row r="574" spans="1:10">
      <c r="A574">
        <v>1049</v>
      </c>
      <c r="B574" t="s">
        <v>1333</v>
      </c>
      <c r="C574" t="s">
        <v>902</v>
      </c>
      <c r="D574">
        <v>231419</v>
      </c>
      <c r="E574" t="s">
        <v>588</v>
      </c>
      <c r="F574" t="s">
        <v>54</v>
      </c>
      <c r="G574" t="str">
        <f t="shared" si="16"/>
        <v>Yes</v>
      </c>
      <c r="H574">
        <f t="shared" si="17"/>
        <v>70</v>
      </c>
      <c r="I574" s="1">
        <f>IF(COUNTIF('Transaction Data'!A:A,A574)&gt;5,20,0)+IF(COUNTIFS('Transaction Data'!A:A,A574,'Transaction Data'!G:G,"Yes")&gt;2,30,0)</f>
        <v>0</v>
      </c>
      <c r="J574">
        <f>'Client Master Data'!I574+'Client Master Data'!J574+H574+I574</f>
        <v>70</v>
      </c>
    </row>
    <row r="575" spans="1:10">
      <c r="A575">
        <v>1210</v>
      </c>
      <c r="B575" t="s">
        <v>1334</v>
      </c>
      <c r="C575" t="s">
        <v>587</v>
      </c>
      <c r="D575">
        <v>103871</v>
      </c>
      <c r="E575" t="s">
        <v>593</v>
      </c>
      <c r="F575" t="s">
        <v>23</v>
      </c>
      <c r="G575" t="str">
        <f t="shared" si="16"/>
        <v>Yes</v>
      </c>
      <c r="H575">
        <f t="shared" si="17"/>
        <v>70</v>
      </c>
      <c r="I575" s="1">
        <f>IF(COUNTIF('Transaction Data'!A:A,A575)&gt;5,20,0)+IF(COUNTIFS('Transaction Data'!A:A,A575,'Transaction Data'!G:G,"Yes")&gt;2,30,0)</f>
        <v>0</v>
      </c>
      <c r="J575">
        <f>'Client Master Data'!I575+'Client Master Data'!J575+H575+I575</f>
        <v>70</v>
      </c>
    </row>
    <row r="576" spans="1:10">
      <c r="A576">
        <v>1274</v>
      </c>
      <c r="B576" t="s">
        <v>1335</v>
      </c>
      <c r="C576" t="s">
        <v>673</v>
      </c>
      <c r="D576">
        <v>96691</v>
      </c>
      <c r="E576" t="s">
        <v>600</v>
      </c>
      <c r="F576" t="s">
        <v>11</v>
      </c>
      <c r="G576" t="str">
        <f t="shared" si="16"/>
        <v>No</v>
      </c>
      <c r="H576">
        <f t="shared" si="17"/>
        <v>0</v>
      </c>
      <c r="I576" s="1">
        <f>IF(COUNTIF('Transaction Data'!A:A,A576)&gt;5,20,0)+IF(COUNTIFS('Transaction Data'!A:A,A576,'Transaction Data'!G:G,"Yes")&gt;2,30,0)</f>
        <v>30</v>
      </c>
      <c r="J576">
        <f>'Client Master Data'!I576+'Client Master Data'!J576+H576+I576</f>
        <v>30</v>
      </c>
    </row>
    <row r="577" spans="1:10">
      <c r="A577">
        <v>1493</v>
      </c>
      <c r="B577" t="s">
        <v>1336</v>
      </c>
      <c r="C577" t="s">
        <v>751</v>
      </c>
      <c r="D577">
        <v>206836</v>
      </c>
      <c r="E577" t="s">
        <v>600</v>
      </c>
      <c r="F577" t="s">
        <v>27</v>
      </c>
      <c r="G577" t="str">
        <f t="shared" si="16"/>
        <v>Yes</v>
      </c>
      <c r="H577">
        <f t="shared" si="17"/>
        <v>70</v>
      </c>
      <c r="I577" s="1">
        <f>IF(COUNTIF('Transaction Data'!A:A,A577)&gt;5,20,0)+IF(COUNTIFS('Transaction Data'!A:A,A577,'Transaction Data'!G:G,"Yes")&gt;2,30,0)</f>
        <v>30</v>
      </c>
      <c r="J577">
        <f>'Client Master Data'!I577+'Client Master Data'!J577+H577+I577</f>
        <v>100</v>
      </c>
    </row>
    <row r="578" spans="1:10">
      <c r="A578">
        <v>1320</v>
      </c>
      <c r="B578" t="s">
        <v>1337</v>
      </c>
      <c r="C578" t="s">
        <v>950</v>
      </c>
      <c r="D578">
        <v>408627</v>
      </c>
      <c r="E578" t="s">
        <v>600</v>
      </c>
      <c r="F578" t="s">
        <v>54</v>
      </c>
      <c r="G578" t="str">
        <f t="shared" ref="G578:G641" si="18">IF(OR(D578&gt;100000,F578="UAE",F578="Nigeria"),"Yes","No")</f>
        <v>Yes</v>
      </c>
      <c r="H578">
        <f t="shared" si="17"/>
        <v>70</v>
      </c>
      <c r="I578" s="1">
        <f>IF(COUNTIF('Transaction Data'!A:A,A578)&gt;5,20,0)+IF(COUNTIFS('Transaction Data'!A:A,A578,'Transaction Data'!G:G,"Yes")&gt;2,30,0)</f>
        <v>30</v>
      </c>
      <c r="J578">
        <f>'Client Master Data'!I578+'Client Master Data'!J578+H578+I578</f>
        <v>100</v>
      </c>
    </row>
    <row r="579" spans="1:10">
      <c r="A579">
        <v>1340</v>
      </c>
      <c r="B579" t="s">
        <v>1338</v>
      </c>
      <c r="C579" t="s">
        <v>597</v>
      </c>
      <c r="D579">
        <v>255648</v>
      </c>
      <c r="E579" t="s">
        <v>588</v>
      </c>
      <c r="F579" t="s">
        <v>39</v>
      </c>
      <c r="G579" t="str">
        <f t="shared" si="18"/>
        <v>Yes</v>
      </c>
      <c r="H579">
        <f t="shared" ref="H579:H642" si="19">IF(D579&gt;100000,30,0)+IF(TRIM(LOWER(G579))="yes",40,0)</f>
        <v>70</v>
      </c>
      <c r="I579" s="1">
        <f>IF(COUNTIF('Transaction Data'!A:A,A579)&gt;5,20,0)+IF(COUNTIFS('Transaction Data'!A:A,A579,'Transaction Data'!G:G,"Yes")&gt;2,30,0)</f>
        <v>30</v>
      </c>
      <c r="J579">
        <f>'Client Master Data'!I579+'Client Master Data'!J579+H579+I579</f>
        <v>100</v>
      </c>
    </row>
    <row r="580" spans="1:10">
      <c r="A580">
        <v>1387</v>
      </c>
      <c r="B580" t="s">
        <v>1339</v>
      </c>
      <c r="C580" t="s">
        <v>919</v>
      </c>
      <c r="D580">
        <v>40426</v>
      </c>
      <c r="E580" t="s">
        <v>588</v>
      </c>
      <c r="F580" t="s">
        <v>17</v>
      </c>
      <c r="G580" t="str">
        <f t="shared" si="18"/>
        <v>Yes</v>
      </c>
      <c r="H580">
        <f t="shared" si="19"/>
        <v>40</v>
      </c>
      <c r="I580" s="1">
        <f>IF(COUNTIF('Transaction Data'!A:A,A580)&gt;5,20,0)+IF(COUNTIFS('Transaction Data'!A:A,A580,'Transaction Data'!G:G,"Yes")&gt;2,30,0)</f>
        <v>30</v>
      </c>
      <c r="J580">
        <f>'Client Master Data'!I580+'Client Master Data'!J580+H580+I580</f>
        <v>70</v>
      </c>
    </row>
    <row r="581" spans="1:10">
      <c r="A581">
        <v>1239</v>
      </c>
      <c r="B581" t="s">
        <v>1340</v>
      </c>
      <c r="C581" t="s">
        <v>849</v>
      </c>
      <c r="D581">
        <v>64166</v>
      </c>
      <c r="E581" t="s">
        <v>600</v>
      </c>
      <c r="F581" t="s">
        <v>11</v>
      </c>
      <c r="G581" t="str">
        <f t="shared" si="18"/>
        <v>No</v>
      </c>
      <c r="H581">
        <f t="shared" si="19"/>
        <v>0</v>
      </c>
      <c r="I581" s="1">
        <f>IF(COUNTIF('Transaction Data'!A:A,A581)&gt;5,20,0)+IF(COUNTIFS('Transaction Data'!A:A,A581,'Transaction Data'!G:G,"Yes")&gt;2,30,0)</f>
        <v>0</v>
      </c>
      <c r="J581">
        <f>'Client Master Data'!I581+'Client Master Data'!J581+H581+I581</f>
        <v>0</v>
      </c>
    </row>
    <row r="582" spans="1:10">
      <c r="A582">
        <v>1086</v>
      </c>
      <c r="B582" t="s">
        <v>1341</v>
      </c>
      <c r="C582" t="s">
        <v>650</v>
      </c>
      <c r="D582">
        <v>145628</v>
      </c>
      <c r="E582" t="s">
        <v>588</v>
      </c>
      <c r="F582" t="s">
        <v>17</v>
      </c>
      <c r="G582" t="str">
        <f t="shared" si="18"/>
        <v>Yes</v>
      </c>
      <c r="H582">
        <f t="shared" si="19"/>
        <v>70</v>
      </c>
      <c r="I582" s="1">
        <f>IF(COUNTIF('Transaction Data'!A:A,A582)&gt;5,20,0)+IF(COUNTIFS('Transaction Data'!A:A,A582,'Transaction Data'!G:G,"Yes")&gt;2,30,0)</f>
        <v>0</v>
      </c>
      <c r="J582">
        <f>'Client Master Data'!I582+'Client Master Data'!J582+H582+I582</f>
        <v>70</v>
      </c>
    </row>
    <row r="583" spans="1:10">
      <c r="A583">
        <v>1278</v>
      </c>
      <c r="B583" t="s">
        <v>1342</v>
      </c>
      <c r="C583" t="s">
        <v>801</v>
      </c>
      <c r="D583">
        <v>21805</v>
      </c>
      <c r="E583" t="s">
        <v>593</v>
      </c>
      <c r="F583" t="s">
        <v>23</v>
      </c>
      <c r="G583" t="str">
        <f t="shared" si="18"/>
        <v>No</v>
      </c>
      <c r="H583">
        <f t="shared" si="19"/>
        <v>0</v>
      </c>
      <c r="I583" s="1">
        <f>IF(COUNTIF('Transaction Data'!A:A,A583)&gt;5,20,0)+IF(COUNTIFS('Transaction Data'!A:A,A583,'Transaction Data'!G:G,"Yes")&gt;2,30,0)</f>
        <v>0</v>
      </c>
      <c r="J583">
        <f>'Client Master Data'!I583+'Client Master Data'!J583+H583+I583</f>
        <v>0</v>
      </c>
    </row>
    <row r="584" spans="1:10">
      <c r="A584">
        <v>1106</v>
      </c>
      <c r="B584" t="s">
        <v>1343</v>
      </c>
      <c r="C584" t="s">
        <v>608</v>
      </c>
      <c r="D584">
        <v>127546</v>
      </c>
      <c r="E584" t="s">
        <v>588</v>
      </c>
      <c r="F584" t="s">
        <v>27</v>
      </c>
      <c r="G584" t="str">
        <f t="shared" si="18"/>
        <v>Yes</v>
      </c>
      <c r="H584">
        <f t="shared" si="19"/>
        <v>70</v>
      </c>
      <c r="I584" s="1">
        <f>IF(COUNTIF('Transaction Data'!A:A,A584)&gt;5,20,0)+IF(COUNTIFS('Transaction Data'!A:A,A584,'Transaction Data'!G:G,"Yes")&gt;2,30,0)</f>
        <v>0</v>
      </c>
      <c r="J584">
        <f>'Client Master Data'!I584+'Client Master Data'!J584+H584+I584</f>
        <v>70</v>
      </c>
    </row>
    <row r="585" spans="1:10">
      <c r="A585">
        <v>1460</v>
      </c>
      <c r="B585" t="s">
        <v>1344</v>
      </c>
      <c r="C585" t="s">
        <v>828</v>
      </c>
      <c r="D585">
        <v>154731</v>
      </c>
      <c r="E585" t="s">
        <v>600</v>
      </c>
      <c r="F585" t="s">
        <v>17</v>
      </c>
      <c r="G585" t="str">
        <f t="shared" si="18"/>
        <v>Yes</v>
      </c>
      <c r="H585">
        <f t="shared" si="19"/>
        <v>70</v>
      </c>
      <c r="I585" s="1">
        <f>IF(COUNTIF('Transaction Data'!A:A,A585)&gt;5,20,0)+IF(COUNTIFS('Transaction Data'!A:A,A585,'Transaction Data'!G:G,"Yes")&gt;2,30,0)</f>
        <v>50</v>
      </c>
      <c r="J585">
        <f>'Client Master Data'!I585+'Client Master Data'!J585+H585+I585</f>
        <v>120</v>
      </c>
    </row>
    <row r="586" spans="1:10">
      <c r="A586">
        <v>1341</v>
      </c>
      <c r="B586" t="s">
        <v>1345</v>
      </c>
      <c r="C586" t="s">
        <v>604</v>
      </c>
      <c r="D586">
        <v>418272</v>
      </c>
      <c r="E586" t="s">
        <v>593</v>
      </c>
      <c r="F586" t="s">
        <v>23</v>
      </c>
      <c r="G586" t="str">
        <f t="shared" si="18"/>
        <v>Yes</v>
      </c>
      <c r="H586">
        <f t="shared" si="19"/>
        <v>70</v>
      </c>
      <c r="I586" s="1">
        <f>IF(COUNTIF('Transaction Data'!A:A,A586)&gt;5,20,0)+IF(COUNTIFS('Transaction Data'!A:A,A586,'Transaction Data'!G:G,"Yes")&gt;2,30,0)</f>
        <v>30</v>
      </c>
      <c r="J586">
        <f>'Client Master Data'!I586+'Client Master Data'!J586+H586+I586</f>
        <v>100</v>
      </c>
    </row>
    <row r="587" spans="1:10">
      <c r="A587">
        <v>1510</v>
      </c>
      <c r="B587" t="s">
        <v>1346</v>
      </c>
      <c r="C587" t="s">
        <v>698</v>
      </c>
      <c r="D587">
        <v>160132</v>
      </c>
      <c r="E587" t="s">
        <v>593</v>
      </c>
      <c r="F587" t="s">
        <v>54</v>
      </c>
      <c r="G587" t="str">
        <f t="shared" si="18"/>
        <v>Yes</v>
      </c>
      <c r="H587">
        <f t="shared" si="19"/>
        <v>70</v>
      </c>
      <c r="I587" s="1">
        <f>IF(COUNTIF('Transaction Data'!A:A,A587)&gt;5,20,0)+IF(COUNTIFS('Transaction Data'!A:A,A587,'Transaction Data'!G:G,"Yes")&gt;2,30,0)</f>
        <v>0</v>
      </c>
      <c r="J587">
        <f>'Client Master Data'!I587+'Client Master Data'!J587+H587+I587</f>
        <v>70</v>
      </c>
    </row>
    <row r="588" spans="1:10">
      <c r="A588">
        <v>1167</v>
      </c>
      <c r="B588" t="s">
        <v>1347</v>
      </c>
      <c r="C588" t="s">
        <v>845</v>
      </c>
      <c r="D588">
        <v>403602</v>
      </c>
      <c r="E588" t="s">
        <v>588</v>
      </c>
      <c r="F588" t="s">
        <v>39</v>
      </c>
      <c r="G588" t="str">
        <f t="shared" si="18"/>
        <v>Yes</v>
      </c>
      <c r="H588">
        <f t="shared" si="19"/>
        <v>70</v>
      </c>
      <c r="I588" s="1">
        <f>IF(COUNTIF('Transaction Data'!A:A,A588)&gt;5,20,0)+IF(COUNTIFS('Transaction Data'!A:A,A588,'Transaction Data'!G:G,"Yes")&gt;2,30,0)</f>
        <v>0</v>
      </c>
      <c r="J588">
        <f>'Client Master Data'!I588+'Client Master Data'!J588+H588+I588</f>
        <v>70</v>
      </c>
    </row>
    <row r="589" spans="1:10">
      <c r="A589">
        <v>1162</v>
      </c>
      <c r="B589" t="s">
        <v>1348</v>
      </c>
      <c r="C589" t="s">
        <v>1127</v>
      </c>
      <c r="D589">
        <v>438873</v>
      </c>
      <c r="E589" t="s">
        <v>593</v>
      </c>
      <c r="F589" t="s">
        <v>23</v>
      </c>
      <c r="G589" t="str">
        <f t="shared" si="18"/>
        <v>Yes</v>
      </c>
      <c r="H589">
        <f t="shared" si="19"/>
        <v>70</v>
      </c>
      <c r="I589" s="1">
        <f>IF(COUNTIF('Transaction Data'!A:A,A589)&gt;5,20,0)+IF(COUNTIFS('Transaction Data'!A:A,A589,'Transaction Data'!G:G,"Yes")&gt;2,30,0)</f>
        <v>0</v>
      </c>
      <c r="J589">
        <f>'Client Master Data'!I589+'Client Master Data'!J589+H589+I589</f>
        <v>70</v>
      </c>
    </row>
    <row r="590" spans="1:10">
      <c r="A590">
        <v>1194</v>
      </c>
      <c r="B590" t="s">
        <v>1349</v>
      </c>
      <c r="C590" t="s">
        <v>897</v>
      </c>
      <c r="D590">
        <v>472075</v>
      </c>
      <c r="E590" t="s">
        <v>600</v>
      </c>
      <c r="F590" t="s">
        <v>23</v>
      </c>
      <c r="G590" t="str">
        <f t="shared" si="18"/>
        <v>Yes</v>
      </c>
      <c r="H590">
        <f t="shared" si="19"/>
        <v>70</v>
      </c>
      <c r="I590" s="1">
        <f>IF(COUNTIF('Transaction Data'!A:A,A590)&gt;5,20,0)+IF(COUNTIFS('Transaction Data'!A:A,A590,'Transaction Data'!G:G,"Yes")&gt;2,30,0)</f>
        <v>0</v>
      </c>
      <c r="J590">
        <f>'Client Master Data'!I590+'Client Master Data'!J590+H590+I590</f>
        <v>70</v>
      </c>
    </row>
    <row r="591" spans="1:10">
      <c r="A591">
        <v>1280</v>
      </c>
      <c r="B591" t="s">
        <v>1350</v>
      </c>
      <c r="C591" t="s">
        <v>713</v>
      </c>
      <c r="D591">
        <v>415697</v>
      </c>
      <c r="E591" t="s">
        <v>600</v>
      </c>
      <c r="F591" t="s">
        <v>23</v>
      </c>
      <c r="G591" t="str">
        <f t="shared" si="18"/>
        <v>Yes</v>
      </c>
      <c r="H591">
        <f t="shared" si="19"/>
        <v>70</v>
      </c>
      <c r="I591" s="1">
        <f>IF(COUNTIF('Transaction Data'!A:A,A591)&gt;5,20,0)+IF(COUNTIFS('Transaction Data'!A:A,A591,'Transaction Data'!G:G,"Yes")&gt;2,30,0)</f>
        <v>0</v>
      </c>
      <c r="J591">
        <f>'Client Master Data'!I591+'Client Master Data'!J591+H591+I591</f>
        <v>70</v>
      </c>
    </row>
    <row r="592" spans="1:10">
      <c r="A592">
        <v>1152</v>
      </c>
      <c r="B592" t="s">
        <v>1351</v>
      </c>
      <c r="C592" t="s">
        <v>642</v>
      </c>
      <c r="D592">
        <v>493501</v>
      </c>
      <c r="E592" t="s">
        <v>600</v>
      </c>
      <c r="F592" t="s">
        <v>11</v>
      </c>
      <c r="G592" t="str">
        <f t="shared" si="18"/>
        <v>Yes</v>
      </c>
      <c r="H592">
        <f t="shared" si="19"/>
        <v>70</v>
      </c>
      <c r="I592" s="1">
        <f>IF(COUNTIF('Transaction Data'!A:A,A592)&gt;5,20,0)+IF(COUNTIFS('Transaction Data'!A:A,A592,'Transaction Data'!G:G,"Yes")&gt;2,30,0)</f>
        <v>0</v>
      </c>
      <c r="J592">
        <f>'Client Master Data'!I592+'Client Master Data'!J592+H592+I592</f>
        <v>70</v>
      </c>
    </row>
    <row r="593" spans="1:10">
      <c r="A593">
        <v>1120</v>
      </c>
      <c r="B593" t="s">
        <v>1352</v>
      </c>
      <c r="C593" t="s">
        <v>849</v>
      </c>
      <c r="D593">
        <v>170843</v>
      </c>
      <c r="E593" t="s">
        <v>600</v>
      </c>
      <c r="F593" t="s">
        <v>27</v>
      </c>
      <c r="G593" t="str">
        <f t="shared" si="18"/>
        <v>Yes</v>
      </c>
      <c r="H593">
        <f t="shared" si="19"/>
        <v>70</v>
      </c>
      <c r="I593" s="1">
        <f>IF(COUNTIF('Transaction Data'!A:A,A593)&gt;5,20,0)+IF(COUNTIFS('Transaction Data'!A:A,A593,'Transaction Data'!G:G,"Yes")&gt;2,30,0)</f>
        <v>30</v>
      </c>
      <c r="J593">
        <f>'Client Master Data'!I593+'Client Master Data'!J593+H593+I593</f>
        <v>100</v>
      </c>
    </row>
    <row r="594" spans="1:10">
      <c r="A594">
        <v>1356</v>
      </c>
      <c r="B594" t="s">
        <v>1353</v>
      </c>
      <c r="C594" t="s">
        <v>950</v>
      </c>
      <c r="D594">
        <v>404472</v>
      </c>
      <c r="E594" t="s">
        <v>588</v>
      </c>
      <c r="F594" t="s">
        <v>17</v>
      </c>
      <c r="G594" t="str">
        <f t="shared" si="18"/>
        <v>Yes</v>
      </c>
      <c r="H594">
        <f t="shared" si="19"/>
        <v>70</v>
      </c>
      <c r="I594" s="1">
        <f>IF(COUNTIF('Transaction Data'!A:A,A594)&gt;5,20,0)+IF(COUNTIFS('Transaction Data'!A:A,A594,'Transaction Data'!G:G,"Yes")&gt;2,30,0)</f>
        <v>0</v>
      </c>
      <c r="J594">
        <f>'Client Master Data'!I594+'Client Master Data'!J594+H594+I594</f>
        <v>70</v>
      </c>
    </row>
    <row r="595" spans="1:10">
      <c r="A595">
        <v>1344</v>
      </c>
      <c r="B595" t="s">
        <v>1354</v>
      </c>
      <c r="C595" t="s">
        <v>1036</v>
      </c>
      <c r="D595">
        <v>494589</v>
      </c>
      <c r="E595" t="s">
        <v>600</v>
      </c>
      <c r="F595" t="s">
        <v>17</v>
      </c>
      <c r="G595" t="str">
        <f t="shared" si="18"/>
        <v>Yes</v>
      </c>
      <c r="H595">
        <f t="shared" si="19"/>
        <v>70</v>
      </c>
      <c r="I595" s="1">
        <f>IF(COUNTIF('Transaction Data'!A:A,A595)&gt;5,20,0)+IF(COUNTIFS('Transaction Data'!A:A,A595,'Transaction Data'!G:G,"Yes")&gt;2,30,0)</f>
        <v>30</v>
      </c>
      <c r="J595">
        <f>'Client Master Data'!I595+'Client Master Data'!J595+H595+I595</f>
        <v>100</v>
      </c>
    </row>
    <row r="596" spans="1:10">
      <c r="A596">
        <v>1500</v>
      </c>
      <c r="B596" t="s">
        <v>1355</v>
      </c>
      <c r="C596" t="s">
        <v>1127</v>
      </c>
      <c r="D596">
        <v>209856</v>
      </c>
      <c r="E596" t="s">
        <v>600</v>
      </c>
      <c r="F596" t="s">
        <v>39</v>
      </c>
      <c r="G596" t="str">
        <f t="shared" si="18"/>
        <v>Yes</v>
      </c>
      <c r="H596">
        <f t="shared" si="19"/>
        <v>70</v>
      </c>
      <c r="I596" s="1">
        <f>IF(COUNTIF('Transaction Data'!A:A,A596)&gt;5,20,0)+IF(COUNTIFS('Transaction Data'!A:A,A596,'Transaction Data'!G:G,"Yes")&gt;2,30,0)</f>
        <v>30</v>
      </c>
      <c r="J596">
        <f>'Client Master Data'!I596+'Client Master Data'!J596+H596+I596</f>
        <v>100</v>
      </c>
    </row>
    <row r="597" spans="1:10">
      <c r="A597">
        <v>1302</v>
      </c>
      <c r="B597" t="s">
        <v>1356</v>
      </c>
      <c r="C597" t="s">
        <v>1022</v>
      </c>
      <c r="D597">
        <v>291986</v>
      </c>
      <c r="E597" t="s">
        <v>600</v>
      </c>
      <c r="F597" t="s">
        <v>17</v>
      </c>
      <c r="G597" t="str">
        <f t="shared" si="18"/>
        <v>Yes</v>
      </c>
      <c r="H597">
        <f t="shared" si="19"/>
        <v>70</v>
      </c>
      <c r="I597" s="1">
        <f>IF(COUNTIF('Transaction Data'!A:A,A597)&gt;5,20,0)+IF(COUNTIFS('Transaction Data'!A:A,A597,'Transaction Data'!G:G,"Yes")&gt;2,30,0)</f>
        <v>30</v>
      </c>
      <c r="J597">
        <f>'Client Master Data'!I597+'Client Master Data'!J597+H597+I597</f>
        <v>100</v>
      </c>
    </row>
    <row r="598" spans="1:10">
      <c r="A598">
        <v>1426</v>
      </c>
      <c r="B598" t="s">
        <v>1357</v>
      </c>
      <c r="C598" t="s">
        <v>868</v>
      </c>
      <c r="D598">
        <v>144383</v>
      </c>
      <c r="E598" t="s">
        <v>588</v>
      </c>
      <c r="F598" t="s">
        <v>54</v>
      </c>
      <c r="G598" t="str">
        <f t="shared" si="18"/>
        <v>Yes</v>
      </c>
      <c r="H598">
        <f t="shared" si="19"/>
        <v>70</v>
      </c>
      <c r="I598" s="1">
        <f>IF(COUNTIF('Transaction Data'!A:A,A598)&gt;5,20,0)+IF(COUNTIFS('Transaction Data'!A:A,A598,'Transaction Data'!G:G,"Yes")&gt;2,30,0)</f>
        <v>0</v>
      </c>
      <c r="J598">
        <f>'Client Master Data'!I598+'Client Master Data'!J598+H598+I598</f>
        <v>70</v>
      </c>
    </row>
    <row r="599" spans="1:10">
      <c r="A599">
        <v>1140</v>
      </c>
      <c r="B599" t="s">
        <v>1358</v>
      </c>
      <c r="C599" t="s">
        <v>836</v>
      </c>
      <c r="D599">
        <v>111863</v>
      </c>
      <c r="E599" t="s">
        <v>588</v>
      </c>
      <c r="F599" t="s">
        <v>23</v>
      </c>
      <c r="G599" t="str">
        <f t="shared" si="18"/>
        <v>Yes</v>
      </c>
      <c r="H599">
        <f t="shared" si="19"/>
        <v>70</v>
      </c>
      <c r="I599" s="1">
        <f>IF(COUNTIF('Transaction Data'!A:A,A599)&gt;5,20,0)+IF(COUNTIFS('Transaction Data'!A:A,A599,'Transaction Data'!G:G,"Yes")&gt;2,30,0)</f>
        <v>0</v>
      </c>
      <c r="J599">
        <f>'Client Master Data'!I599+'Client Master Data'!J599+H599+I599</f>
        <v>70</v>
      </c>
    </row>
    <row r="600" spans="1:10">
      <c r="A600">
        <v>1540</v>
      </c>
      <c r="B600" t="s">
        <v>1359</v>
      </c>
      <c r="C600" t="s">
        <v>604</v>
      </c>
      <c r="D600">
        <v>31468</v>
      </c>
      <c r="E600" t="s">
        <v>593</v>
      </c>
      <c r="F600" t="s">
        <v>17</v>
      </c>
      <c r="G600" t="str">
        <f t="shared" si="18"/>
        <v>Yes</v>
      </c>
      <c r="H600">
        <f t="shared" si="19"/>
        <v>40</v>
      </c>
      <c r="I600" s="1">
        <f>IF(COUNTIF('Transaction Data'!A:A,A600)&gt;5,20,0)+IF(COUNTIFS('Transaction Data'!A:A,A600,'Transaction Data'!G:G,"Yes")&gt;2,30,0)</f>
        <v>0</v>
      </c>
      <c r="J600">
        <f>'Client Master Data'!I600+'Client Master Data'!J600+H600+I600</f>
        <v>40</v>
      </c>
    </row>
    <row r="601" spans="1:10">
      <c r="A601">
        <v>1341</v>
      </c>
      <c r="B601" t="s">
        <v>1360</v>
      </c>
      <c r="C601" t="s">
        <v>958</v>
      </c>
      <c r="D601">
        <v>424597</v>
      </c>
      <c r="E601" t="s">
        <v>600</v>
      </c>
      <c r="F601" t="s">
        <v>23</v>
      </c>
      <c r="G601" t="str">
        <f t="shared" si="18"/>
        <v>Yes</v>
      </c>
      <c r="H601">
        <f t="shared" si="19"/>
        <v>70</v>
      </c>
      <c r="I601" s="1">
        <f>IF(COUNTIF('Transaction Data'!A:A,A601)&gt;5,20,0)+IF(COUNTIFS('Transaction Data'!A:A,A601,'Transaction Data'!G:G,"Yes")&gt;2,30,0)</f>
        <v>30</v>
      </c>
      <c r="J601">
        <f>'Client Master Data'!I601+'Client Master Data'!J601+H601+I601</f>
        <v>100</v>
      </c>
    </row>
    <row r="602" spans="1:10">
      <c r="A602">
        <v>1499</v>
      </c>
      <c r="B602" t="s">
        <v>1361</v>
      </c>
      <c r="C602" t="s">
        <v>826</v>
      </c>
      <c r="D602">
        <v>17839</v>
      </c>
      <c r="E602" t="s">
        <v>600</v>
      </c>
      <c r="F602" t="s">
        <v>11</v>
      </c>
      <c r="G602" t="str">
        <f t="shared" si="18"/>
        <v>No</v>
      </c>
      <c r="H602">
        <f t="shared" si="19"/>
        <v>0</v>
      </c>
      <c r="I602" s="1">
        <f>IF(COUNTIF('Transaction Data'!A:A,A602)&gt;5,20,0)+IF(COUNTIFS('Transaction Data'!A:A,A602,'Transaction Data'!G:G,"Yes")&gt;2,30,0)</f>
        <v>0</v>
      </c>
      <c r="J602">
        <f>'Client Master Data'!I602+'Client Master Data'!J602+H602+I602</f>
        <v>0</v>
      </c>
    </row>
    <row r="603" spans="1:10">
      <c r="A603">
        <v>1086</v>
      </c>
      <c r="B603" t="s">
        <v>1362</v>
      </c>
      <c r="C603" t="s">
        <v>948</v>
      </c>
      <c r="D603">
        <v>213037</v>
      </c>
      <c r="E603" t="s">
        <v>593</v>
      </c>
      <c r="F603" t="s">
        <v>54</v>
      </c>
      <c r="G603" t="str">
        <f t="shared" si="18"/>
        <v>Yes</v>
      </c>
      <c r="H603">
        <f t="shared" si="19"/>
        <v>70</v>
      </c>
      <c r="I603" s="1">
        <f>IF(COUNTIF('Transaction Data'!A:A,A603)&gt;5,20,0)+IF(COUNTIFS('Transaction Data'!A:A,A603,'Transaction Data'!G:G,"Yes")&gt;2,30,0)</f>
        <v>0</v>
      </c>
      <c r="J603">
        <f>'Client Master Data'!I603+'Client Master Data'!J603+H603+I603</f>
        <v>70</v>
      </c>
    </row>
    <row r="604" spans="1:10">
      <c r="A604">
        <v>1251</v>
      </c>
      <c r="B604" t="s">
        <v>1363</v>
      </c>
      <c r="C604" t="s">
        <v>642</v>
      </c>
      <c r="D604">
        <v>99292</v>
      </c>
      <c r="E604" t="s">
        <v>600</v>
      </c>
      <c r="F604" t="s">
        <v>27</v>
      </c>
      <c r="G604" t="str">
        <f t="shared" si="18"/>
        <v>No</v>
      </c>
      <c r="H604">
        <f t="shared" si="19"/>
        <v>0</v>
      </c>
      <c r="I604" s="1">
        <f>IF(COUNTIF('Transaction Data'!A:A,A604)&gt;5,20,0)+IF(COUNTIFS('Transaction Data'!A:A,A604,'Transaction Data'!G:G,"Yes")&gt;2,30,0)</f>
        <v>30</v>
      </c>
      <c r="J604">
        <f>'Client Master Data'!I604+'Client Master Data'!J604+H604+I604</f>
        <v>30</v>
      </c>
    </row>
    <row r="605" spans="1:10">
      <c r="A605">
        <v>1260</v>
      </c>
      <c r="B605" t="s">
        <v>1364</v>
      </c>
      <c r="C605" t="s">
        <v>984</v>
      </c>
      <c r="D605">
        <v>468271</v>
      </c>
      <c r="E605" t="s">
        <v>593</v>
      </c>
      <c r="F605" t="s">
        <v>11</v>
      </c>
      <c r="G605" t="str">
        <f t="shared" si="18"/>
        <v>Yes</v>
      </c>
      <c r="H605">
        <f t="shared" si="19"/>
        <v>70</v>
      </c>
      <c r="I605" s="1">
        <f>IF(COUNTIF('Transaction Data'!A:A,A605)&gt;5,20,0)+IF(COUNTIFS('Transaction Data'!A:A,A605,'Transaction Data'!G:G,"Yes")&gt;2,30,0)</f>
        <v>0</v>
      </c>
      <c r="J605">
        <f>'Client Master Data'!I605+'Client Master Data'!J605+H605+I605</f>
        <v>70</v>
      </c>
    </row>
    <row r="606" spans="1:10">
      <c r="A606">
        <v>1181</v>
      </c>
      <c r="B606" t="s">
        <v>1365</v>
      </c>
      <c r="C606" t="s">
        <v>989</v>
      </c>
      <c r="D606">
        <v>386155</v>
      </c>
      <c r="E606" t="s">
        <v>588</v>
      </c>
      <c r="F606" t="s">
        <v>39</v>
      </c>
      <c r="G606" t="str">
        <f t="shared" si="18"/>
        <v>Yes</v>
      </c>
      <c r="H606">
        <f t="shared" si="19"/>
        <v>70</v>
      </c>
      <c r="I606" s="1">
        <f>IF(COUNTIF('Transaction Data'!A:A,A606)&gt;5,20,0)+IF(COUNTIFS('Transaction Data'!A:A,A606,'Transaction Data'!G:G,"Yes")&gt;2,30,0)</f>
        <v>0</v>
      </c>
      <c r="J606">
        <f>'Client Master Data'!I606+'Client Master Data'!J606+H606+I606</f>
        <v>70</v>
      </c>
    </row>
    <row r="607" spans="1:10">
      <c r="A607">
        <v>1464</v>
      </c>
      <c r="B607" t="s">
        <v>1366</v>
      </c>
      <c r="C607" t="s">
        <v>711</v>
      </c>
      <c r="D607">
        <v>150386</v>
      </c>
      <c r="E607" t="s">
        <v>593</v>
      </c>
      <c r="F607" t="s">
        <v>23</v>
      </c>
      <c r="G607" t="str">
        <f t="shared" si="18"/>
        <v>Yes</v>
      </c>
      <c r="H607">
        <f t="shared" si="19"/>
        <v>70</v>
      </c>
      <c r="I607" s="1">
        <f>IF(COUNTIF('Transaction Data'!A:A,A607)&gt;5,20,0)+IF(COUNTIFS('Transaction Data'!A:A,A607,'Transaction Data'!G:G,"Yes")&gt;2,30,0)</f>
        <v>50</v>
      </c>
      <c r="J607">
        <f>'Client Master Data'!I607+'Client Master Data'!J607+H607+I607</f>
        <v>120</v>
      </c>
    </row>
    <row r="608" spans="1:10">
      <c r="A608">
        <v>1203</v>
      </c>
      <c r="B608" t="s">
        <v>1367</v>
      </c>
      <c r="C608" t="s">
        <v>881</v>
      </c>
      <c r="D608">
        <v>45463</v>
      </c>
      <c r="E608" t="s">
        <v>600</v>
      </c>
      <c r="F608" t="s">
        <v>54</v>
      </c>
      <c r="G608" t="str">
        <f t="shared" si="18"/>
        <v>Yes</v>
      </c>
      <c r="H608">
        <f t="shared" si="19"/>
        <v>40</v>
      </c>
      <c r="I608" s="1">
        <f>IF(COUNTIF('Transaction Data'!A:A,A608)&gt;5,20,0)+IF(COUNTIFS('Transaction Data'!A:A,A608,'Transaction Data'!G:G,"Yes")&gt;2,30,0)</f>
        <v>30</v>
      </c>
      <c r="J608">
        <f>'Client Master Data'!I608+'Client Master Data'!J608+H608+I608</f>
        <v>70</v>
      </c>
    </row>
    <row r="609" spans="1:10">
      <c r="A609">
        <v>1373</v>
      </c>
      <c r="B609" t="s">
        <v>1368</v>
      </c>
      <c r="C609" t="s">
        <v>847</v>
      </c>
      <c r="D609">
        <v>214884</v>
      </c>
      <c r="E609" t="s">
        <v>588</v>
      </c>
      <c r="F609" t="s">
        <v>11</v>
      </c>
      <c r="G609" t="str">
        <f t="shared" si="18"/>
        <v>Yes</v>
      </c>
      <c r="H609">
        <f t="shared" si="19"/>
        <v>70</v>
      </c>
      <c r="I609" s="1">
        <f>IF(COUNTIF('Transaction Data'!A:A,A609)&gt;5,20,0)+IF(COUNTIFS('Transaction Data'!A:A,A609,'Transaction Data'!G:G,"Yes")&gt;2,30,0)</f>
        <v>30</v>
      </c>
      <c r="J609">
        <f>'Client Master Data'!I609+'Client Master Data'!J609+H609+I609</f>
        <v>100</v>
      </c>
    </row>
    <row r="610" spans="1:10">
      <c r="A610">
        <v>1519</v>
      </c>
      <c r="B610" t="s">
        <v>1369</v>
      </c>
      <c r="C610" t="s">
        <v>1370</v>
      </c>
      <c r="D610">
        <v>239236</v>
      </c>
      <c r="E610" t="s">
        <v>600</v>
      </c>
      <c r="F610" t="s">
        <v>23</v>
      </c>
      <c r="G610" t="str">
        <f t="shared" si="18"/>
        <v>Yes</v>
      </c>
      <c r="H610">
        <f t="shared" si="19"/>
        <v>70</v>
      </c>
      <c r="I610" s="1">
        <f>IF(COUNTIF('Transaction Data'!A:A,A610)&gt;5,20,0)+IF(COUNTIFS('Transaction Data'!A:A,A610,'Transaction Data'!G:G,"Yes")&gt;2,30,0)</f>
        <v>0</v>
      </c>
      <c r="J610">
        <f>'Client Master Data'!I610+'Client Master Data'!J610+H610+I610</f>
        <v>70</v>
      </c>
    </row>
    <row r="611" spans="1:10">
      <c r="A611">
        <v>1367</v>
      </c>
      <c r="B611" t="s">
        <v>1371</v>
      </c>
      <c r="C611" t="s">
        <v>937</v>
      </c>
      <c r="D611">
        <v>231656</v>
      </c>
      <c r="E611" t="s">
        <v>588</v>
      </c>
      <c r="F611" t="s">
        <v>11</v>
      </c>
      <c r="G611" t="str">
        <f t="shared" si="18"/>
        <v>Yes</v>
      </c>
      <c r="H611">
        <f t="shared" si="19"/>
        <v>70</v>
      </c>
      <c r="I611" s="1">
        <f>IF(COUNTIF('Transaction Data'!A:A,A611)&gt;5,20,0)+IF(COUNTIFS('Transaction Data'!A:A,A611,'Transaction Data'!G:G,"Yes")&gt;2,30,0)</f>
        <v>0</v>
      </c>
      <c r="J611">
        <f>'Client Master Data'!I611+'Client Master Data'!J611+H611+I611</f>
        <v>70</v>
      </c>
    </row>
    <row r="612" spans="1:10">
      <c r="A612">
        <v>1348</v>
      </c>
      <c r="B612" t="s">
        <v>1372</v>
      </c>
      <c r="C612" t="s">
        <v>807</v>
      </c>
      <c r="D612">
        <v>308520</v>
      </c>
      <c r="E612" t="s">
        <v>600</v>
      </c>
      <c r="F612" t="s">
        <v>27</v>
      </c>
      <c r="G612" t="str">
        <f t="shared" si="18"/>
        <v>Yes</v>
      </c>
      <c r="H612">
        <f t="shared" si="19"/>
        <v>70</v>
      </c>
      <c r="I612" s="1">
        <f>IF(COUNTIF('Transaction Data'!A:A,A612)&gt;5,20,0)+IF(COUNTIFS('Transaction Data'!A:A,A612,'Transaction Data'!G:G,"Yes")&gt;2,30,0)</f>
        <v>0</v>
      </c>
      <c r="J612">
        <f>'Client Master Data'!I612+'Client Master Data'!J612+H612+I612</f>
        <v>70</v>
      </c>
    </row>
    <row r="613" spans="1:10">
      <c r="A613">
        <v>1464</v>
      </c>
      <c r="B613" t="s">
        <v>1373</v>
      </c>
      <c r="C613" t="s">
        <v>592</v>
      </c>
      <c r="D613">
        <v>240789</v>
      </c>
      <c r="E613" t="s">
        <v>593</v>
      </c>
      <c r="F613" t="s">
        <v>27</v>
      </c>
      <c r="G613" t="str">
        <f t="shared" si="18"/>
        <v>Yes</v>
      </c>
      <c r="H613">
        <f t="shared" si="19"/>
        <v>70</v>
      </c>
      <c r="I613" s="1">
        <f>IF(COUNTIF('Transaction Data'!A:A,A613)&gt;5,20,0)+IF(COUNTIFS('Transaction Data'!A:A,A613,'Transaction Data'!G:G,"Yes")&gt;2,30,0)</f>
        <v>50</v>
      </c>
      <c r="J613">
        <f>'Client Master Data'!I613+'Client Master Data'!J613+H613+I613</f>
        <v>120</v>
      </c>
    </row>
    <row r="614" spans="1:10">
      <c r="A614">
        <v>1388</v>
      </c>
      <c r="B614" t="s">
        <v>1374</v>
      </c>
      <c r="C614" t="s">
        <v>845</v>
      </c>
      <c r="D614">
        <v>259075</v>
      </c>
      <c r="E614" t="s">
        <v>600</v>
      </c>
      <c r="F614" t="s">
        <v>17</v>
      </c>
      <c r="G614" t="str">
        <f t="shared" si="18"/>
        <v>Yes</v>
      </c>
      <c r="H614">
        <f t="shared" si="19"/>
        <v>70</v>
      </c>
      <c r="I614" s="1">
        <f>IF(COUNTIF('Transaction Data'!A:A,A614)&gt;5,20,0)+IF(COUNTIFS('Transaction Data'!A:A,A614,'Transaction Data'!G:G,"Yes")&gt;2,30,0)</f>
        <v>0</v>
      </c>
      <c r="J614">
        <f>'Client Master Data'!I614+'Client Master Data'!J614+H614+I614</f>
        <v>70</v>
      </c>
    </row>
    <row r="615" spans="1:10">
      <c r="A615">
        <v>1336</v>
      </c>
      <c r="B615" t="s">
        <v>1375</v>
      </c>
      <c r="C615" t="s">
        <v>700</v>
      </c>
      <c r="D615">
        <v>282629</v>
      </c>
      <c r="E615" t="s">
        <v>600</v>
      </c>
      <c r="F615" t="s">
        <v>54</v>
      </c>
      <c r="G615" t="str">
        <f t="shared" si="18"/>
        <v>Yes</v>
      </c>
      <c r="H615">
        <f t="shared" si="19"/>
        <v>70</v>
      </c>
      <c r="I615" s="1">
        <f>IF(COUNTIF('Transaction Data'!A:A,A615)&gt;5,20,0)+IF(COUNTIFS('Transaction Data'!A:A,A615,'Transaction Data'!G:G,"Yes")&gt;2,30,0)</f>
        <v>30</v>
      </c>
      <c r="J615">
        <f>'Client Master Data'!I615+'Client Master Data'!J615+H615+I615</f>
        <v>100</v>
      </c>
    </row>
    <row r="616" spans="1:10">
      <c r="A616">
        <v>1469</v>
      </c>
      <c r="B616" t="s">
        <v>1376</v>
      </c>
      <c r="C616" t="s">
        <v>1031</v>
      </c>
      <c r="D616">
        <v>326675</v>
      </c>
      <c r="E616" t="s">
        <v>600</v>
      </c>
      <c r="F616" t="s">
        <v>27</v>
      </c>
      <c r="G616" t="str">
        <f t="shared" si="18"/>
        <v>Yes</v>
      </c>
      <c r="H616">
        <f t="shared" si="19"/>
        <v>70</v>
      </c>
      <c r="I616" s="1">
        <f>IF(COUNTIF('Transaction Data'!A:A,A616)&gt;5,20,0)+IF(COUNTIFS('Transaction Data'!A:A,A616,'Transaction Data'!G:G,"Yes")&gt;2,30,0)</f>
        <v>30</v>
      </c>
      <c r="J616">
        <f>'Client Master Data'!I616+'Client Master Data'!J616+H616+I616</f>
        <v>100</v>
      </c>
    </row>
    <row r="617" spans="1:10">
      <c r="A617">
        <v>1515</v>
      </c>
      <c r="B617" t="s">
        <v>1377</v>
      </c>
      <c r="C617" t="s">
        <v>798</v>
      </c>
      <c r="D617">
        <v>39283</v>
      </c>
      <c r="E617" t="s">
        <v>600</v>
      </c>
      <c r="F617" t="s">
        <v>54</v>
      </c>
      <c r="G617" t="str">
        <f t="shared" si="18"/>
        <v>Yes</v>
      </c>
      <c r="H617">
        <f t="shared" si="19"/>
        <v>40</v>
      </c>
      <c r="I617" s="1">
        <f>IF(COUNTIF('Transaction Data'!A:A,A617)&gt;5,20,0)+IF(COUNTIFS('Transaction Data'!A:A,A617,'Transaction Data'!G:G,"Yes")&gt;2,30,0)</f>
        <v>0</v>
      </c>
      <c r="J617">
        <f>'Client Master Data'!I617+'Client Master Data'!J617+H617+I617</f>
        <v>40</v>
      </c>
    </row>
    <row r="618" spans="1:10">
      <c r="A618">
        <v>1396</v>
      </c>
      <c r="B618" t="s">
        <v>1378</v>
      </c>
      <c r="C618" t="s">
        <v>669</v>
      </c>
      <c r="D618">
        <v>221001</v>
      </c>
      <c r="E618" t="s">
        <v>593</v>
      </c>
      <c r="F618" t="s">
        <v>39</v>
      </c>
      <c r="G618" t="str">
        <f t="shared" si="18"/>
        <v>Yes</v>
      </c>
      <c r="H618">
        <f t="shared" si="19"/>
        <v>70</v>
      </c>
      <c r="I618" s="1">
        <f>IF(COUNTIF('Transaction Data'!A:A,A618)&gt;5,20,0)+IF(COUNTIFS('Transaction Data'!A:A,A618,'Transaction Data'!G:G,"Yes")&gt;2,30,0)</f>
        <v>30</v>
      </c>
      <c r="J618">
        <f>'Client Master Data'!I618+'Client Master Data'!J618+H618+I618</f>
        <v>100</v>
      </c>
    </row>
    <row r="619" spans="1:10">
      <c r="A619">
        <v>1240</v>
      </c>
      <c r="B619" t="s">
        <v>1379</v>
      </c>
      <c r="C619" t="s">
        <v>631</v>
      </c>
      <c r="D619">
        <v>85515</v>
      </c>
      <c r="E619" t="s">
        <v>588</v>
      </c>
      <c r="F619" t="s">
        <v>54</v>
      </c>
      <c r="G619" t="str">
        <f t="shared" si="18"/>
        <v>Yes</v>
      </c>
      <c r="H619">
        <f t="shared" si="19"/>
        <v>40</v>
      </c>
      <c r="I619" s="1">
        <f>IF(COUNTIF('Transaction Data'!A:A,A619)&gt;5,20,0)+IF(COUNTIFS('Transaction Data'!A:A,A619,'Transaction Data'!G:G,"Yes")&gt;2,30,0)</f>
        <v>0</v>
      </c>
      <c r="J619">
        <f>'Client Master Data'!I619+'Client Master Data'!J619+H619+I619</f>
        <v>40</v>
      </c>
    </row>
    <row r="620" spans="1:10">
      <c r="A620">
        <v>1477</v>
      </c>
      <c r="B620" t="s">
        <v>1380</v>
      </c>
      <c r="C620" t="s">
        <v>1036</v>
      </c>
      <c r="D620">
        <v>460193</v>
      </c>
      <c r="E620" t="s">
        <v>588</v>
      </c>
      <c r="F620" t="s">
        <v>17</v>
      </c>
      <c r="G620" t="str">
        <f t="shared" si="18"/>
        <v>Yes</v>
      </c>
      <c r="H620">
        <f t="shared" si="19"/>
        <v>70</v>
      </c>
      <c r="I620" s="1">
        <f>IF(COUNTIF('Transaction Data'!A:A,A620)&gt;5,20,0)+IF(COUNTIFS('Transaction Data'!A:A,A620,'Transaction Data'!G:G,"Yes")&gt;2,30,0)</f>
        <v>0</v>
      </c>
      <c r="J620">
        <f>'Client Master Data'!I620+'Client Master Data'!J620+H620+I620</f>
        <v>70</v>
      </c>
    </row>
    <row r="621" spans="1:10">
      <c r="A621">
        <v>1550</v>
      </c>
      <c r="B621" t="s">
        <v>1381</v>
      </c>
      <c r="C621" t="s">
        <v>656</v>
      </c>
      <c r="D621">
        <v>351027</v>
      </c>
      <c r="E621" t="s">
        <v>600</v>
      </c>
      <c r="F621" t="s">
        <v>27</v>
      </c>
      <c r="G621" t="str">
        <f t="shared" si="18"/>
        <v>Yes</v>
      </c>
      <c r="H621">
        <f t="shared" si="19"/>
        <v>70</v>
      </c>
      <c r="I621" s="1">
        <f>IF(COUNTIF('Transaction Data'!A:A,A621)&gt;5,20,0)+IF(COUNTIFS('Transaction Data'!A:A,A621,'Transaction Data'!G:G,"Yes")&gt;2,30,0)</f>
        <v>0</v>
      </c>
      <c r="J621">
        <f>'Client Master Data'!I621+'Client Master Data'!J621+H621+I621</f>
        <v>70</v>
      </c>
    </row>
    <row r="622" spans="1:10">
      <c r="A622">
        <v>1360</v>
      </c>
      <c r="B622" t="s">
        <v>1382</v>
      </c>
      <c r="C622" t="s">
        <v>795</v>
      </c>
      <c r="D622">
        <v>81440</v>
      </c>
      <c r="E622" t="s">
        <v>600</v>
      </c>
      <c r="F622" t="s">
        <v>27</v>
      </c>
      <c r="G622" t="str">
        <f t="shared" si="18"/>
        <v>No</v>
      </c>
      <c r="H622">
        <f t="shared" si="19"/>
        <v>0</v>
      </c>
      <c r="I622" s="1">
        <f>IF(COUNTIF('Transaction Data'!A:A,A622)&gt;5,20,0)+IF(COUNTIFS('Transaction Data'!A:A,A622,'Transaction Data'!G:G,"Yes")&gt;2,30,0)</f>
        <v>0</v>
      </c>
      <c r="J622">
        <f>'Client Master Data'!I622+'Client Master Data'!J622+H622+I622</f>
        <v>0</v>
      </c>
    </row>
    <row r="623" spans="1:10">
      <c r="A623">
        <v>1548</v>
      </c>
      <c r="B623" t="s">
        <v>1383</v>
      </c>
      <c r="C623" t="s">
        <v>717</v>
      </c>
      <c r="D623">
        <v>468686</v>
      </c>
      <c r="E623" t="s">
        <v>593</v>
      </c>
      <c r="F623" t="s">
        <v>39</v>
      </c>
      <c r="G623" t="str">
        <f t="shared" si="18"/>
        <v>Yes</v>
      </c>
      <c r="H623">
        <f t="shared" si="19"/>
        <v>70</v>
      </c>
      <c r="I623" s="1">
        <f>IF(COUNTIF('Transaction Data'!A:A,A623)&gt;5,20,0)+IF(COUNTIFS('Transaction Data'!A:A,A623,'Transaction Data'!G:G,"Yes")&gt;2,30,0)</f>
        <v>50</v>
      </c>
      <c r="J623">
        <f>'Client Master Data'!I623+'Client Master Data'!J623+H623+I623</f>
        <v>120</v>
      </c>
    </row>
    <row r="624" spans="1:10">
      <c r="A624">
        <v>1238</v>
      </c>
      <c r="B624" t="s">
        <v>1384</v>
      </c>
      <c r="C624" t="s">
        <v>769</v>
      </c>
      <c r="D624">
        <v>494058</v>
      </c>
      <c r="E624" t="s">
        <v>600</v>
      </c>
      <c r="F624" t="s">
        <v>23</v>
      </c>
      <c r="G624" t="str">
        <f t="shared" si="18"/>
        <v>Yes</v>
      </c>
      <c r="H624">
        <f t="shared" si="19"/>
        <v>70</v>
      </c>
      <c r="I624" s="1">
        <f>IF(COUNTIF('Transaction Data'!A:A,A624)&gt;5,20,0)+IF(COUNTIFS('Transaction Data'!A:A,A624,'Transaction Data'!G:G,"Yes")&gt;2,30,0)</f>
        <v>0</v>
      </c>
      <c r="J624">
        <f>'Client Master Data'!I624+'Client Master Data'!J624+H624+I624</f>
        <v>70</v>
      </c>
    </row>
    <row r="625" spans="1:10">
      <c r="A625">
        <v>1391</v>
      </c>
      <c r="B625" t="s">
        <v>1385</v>
      </c>
      <c r="C625" t="s">
        <v>638</v>
      </c>
      <c r="D625">
        <v>108680</v>
      </c>
      <c r="E625" t="s">
        <v>593</v>
      </c>
      <c r="F625" t="s">
        <v>27</v>
      </c>
      <c r="G625" t="str">
        <f t="shared" si="18"/>
        <v>Yes</v>
      </c>
      <c r="H625">
        <f t="shared" si="19"/>
        <v>70</v>
      </c>
      <c r="I625" s="1">
        <f>IF(COUNTIF('Transaction Data'!A:A,A625)&gt;5,20,0)+IF(COUNTIFS('Transaction Data'!A:A,A625,'Transaction Data'!G:G,"Yes")&gt;2,30,0)</f>
        <v>30</v>
      </c>
      <c r="J625">
        <f>'Client Master Data'!I625+'Client Master Data'!J625+H625+I625</f>
        <v>100</v>
      </c>
    </row>
    <row r="626" spans="1:10">
      <c r="A626">
        <v>1168</v>
      </c>
      <c r="B626" t="s">
        <v>1386</v>
      </c>
      <c r="C626" t="s">
        <v>658</v>
      </c>
      <c r="D626">
        <v>3468</v>
      </c>
      <c r="E626" t="s">
        <v>600</v>
      </c>
      <c r="F626" t="s">
        <v>27</v>
      </c>
      <c r="G626" t="str">
        <f t="shared" si="18"/>
        <v>No</v>
      </c>
      <c r="H626">
        <f t="shared" si="19"/>
        <v>0</v>
      </c>
      <c r="I626" s="1">
        <f>IF(COUNTIF('Transaction Data'!A:A,A626)&gt;5,20,0)+IF(COUNTIFS('Transaction Data'!A:A,A626,'Transaction Data'!G:G,"Yes")&gt;2,30,0)</f>
        <v>0</v>
      </c>
      <c r="J626">
        <f>'Client Master Data'!I626+'Client Master Data'!J626+H626+I626</f>
        <v>0</v>
      </c>
    </row>
    <row r="627" spans="1:10">
      <c r="A627">
        <v>1440</v>
      </c>
      <c r="B627" t="s">
        <v>1387</v>
      </c>
      <c r="C627" t="s">
        <v>612</v>
      </c>
      <c r="D627">
        <v>279765</v>
      </c>
      <c r="E627" t="s">
        <v>593</v>
      </c>
      <c r="F627" t="s">
        <v>54</v>
      </c>
      <c r="G627" t="str">
        <f t="shared" si="18"/>
        <v>Yes</v>
      </c>
      <c r="H627">
        <f t="shared" si="19"/>
        <v>70</v>
      </c>
      <c r="I627" s="1">
        <f>IF(COUNTIF('Transaction Data'!A:A,A627)&gt;5,20,0)+IF(COUNTIFS('Transaction Data'!A:A,A627,'Transaction Data'!G:G,"Yes")&gt;2,30,0)</f>
        <v>30</v>
      </c>
      <c r="J627">
        <f>'Client Master Data'!I627+'Client Master Data'!J627+H627+I627</f>
        <v>100</v>
      </c>
    </row>
    <row r="628" spans="1:10">
      <c r="A628">
        <v>1059</v>
      </c>
      <c r="B628" t="s">
        <v>1388</v>
      </c>
      <c r="C628" t="s">
        <v>698</v>
      </c>
      <c r="D628">
        <v>209082</v>
      </c>
      <c r="E628" t="s">
        <v>593</v>
      </c>
      <c r="F628" t="s">
        <v>27</v>
      </c>
      <c r="G628" t="str">
        <f t="shared" si="18"/>
        <v>Yes</v>
      </c>
      <c r="H628">
        <f t="shared" si="19"/>
        <v>70</v>
      </c>
      <c r="I628" s="1">
        <f>IF(COUNTIF('Transaction Data'!A:A,A628)&gt;5,20,0)+IF(COUNTIFS('Transaction Data'!A:A,A628,'Transaction Data'!G:G,"Yes")&gt;2,30,0)</f>
        <v>0</v>
      </c>
      <c r="J628">
        <f>'Client Master Data'!I628+'Client Master Data'!J628+H628+I628</f>
        <v>70</v>
      </c>
    </row>
    <row r="629" spans="1:10">
      <c r="A629">
        <v>1085</v>
      </c>
      <c r="B629" t="s">
        <v>1389</v>
      </c>
      <c r="C629" t="s">
        <v>646</v>
      </c>
      <c r="D629">
        <v>385178</v>
      </c>
      <c r="E629" t="s">
        <v>588</v>
      </c>
      <c r="F629" t="s">
        <v>27</v>
      </c>
      <c r="G629" t="str">
        <f t="shared" si="18"/>
        <v>Yes</v>
      </c>
      <c r="H629">
        <f t="shared" si="19"/>
        <v>70</v>
      </c>
      <c r="I629" s="1">
        <f>IF(COUNTIF('Transaction Data'!A:A,A629)&gt;5,20,0)+IF(COUNTIFS('Transaction Data'!A:A,A629,'Transaction Data'!G:G,"Yes")&gt;2,30,0)</f>
        <v>0</v>
      </c>
      <c r="J629">
        <f>'Client Master Data'!I629+'Client Master Data'!J629+H629+I629</f>
        <v>70</v>
      </c>
    </row>
    <row r="630" spans="1:10">
      <c r="A630">
        <v>1539</v>
      </c>
      <c r="B630" t="s">
        <v>1390</v>
      </c>
      <c r="C630" t="s">
        <v>1140</v>
      </c>
      <c r="D630">
        <v>444295</v>
      </c>
      <c r="E630" t="s">
        <v>588</v>
      </c>
      <c r="F630" t="s">
        <v>54</v>
      </c>
      <c r="G630" t="str">
        <f t="shared" si="18"/>
        <v>Yes</v>
      </c>
      <c r="H630">
        <f t="shared" si="19"/>
        <v>70</v>
      </c>
      <c r="I630" s="1">
        <f>IF(COUNTIF('Transaction Data'!A:A,A630)&gt;5,20,0)+IF(COUNTIFS('Transaction Data'!A:A,A630,'Transaction Data'!G:G,"Yes")&gt;2,30,0)</f>
        <v>0</v>
      </c>
      <c r="J630">
        <f>'Client Master Data'!I630+'Client Master Data'!J630+H630+I630</f>
        <v>70</v>
      </c>
    </row>
    <row r="631" spans="1:10">
      <c r="A631">
        <v>1219</v>
      </c>
      <c r="B631" t="s">
        <v>1391</v>
      </c>
      <c r="C631" t="s">
        <v>1053</v>
      </c>
      <c r="D631">
        <v>344099</v>
      </c>
      <c r="E631" t="s">
        <v>600</v>
      </c>
      <c r="F631" t="s">
        <v>17</v>
      </c>
      <c r="G631" t="str">
        <f t="shared" si="18"/>
        <v>Yes</v>
      </c>
      <c r="H631">
        <f t="shared" si="19"/>
        <v>70</v>
      </c>
      <c r="I631" s="1">
        <f>IF(COUNTIF('Transaction Data'!A:A,A631)&gt;5,20,0)+IF(COUNTIFS('Transaction Data'!A:A,A631,'Transaction Data'!G:G,"Yes")&gt;2,30,0)</f>
        <v>30</v>
      </c>
      <c r="J631">
        <f>'Client Master Data'!I631+'Client Master Data'!J631+H631+I631</f>
        <v>100</v>
      </c>
    </row>
    <row r="632" spans="1:10">
      <c r="A632">
        <v>1523</v>
      </c>
      <c r="B632" t="s">
        <v>1392</v>
      </c>
      <c r="C632" t="s">
        <v>612</v>
      </c>
      <c r="D632">
        <v>321696</v>
      </c>
      <c r="E632" t="s">
        <v>588</v>
      </c>
      <c r="F632" t="s">
        <v>11</v>
      </c>
      <c r="G632" t="str">
        <f t="shared" si="18"/>
        <v>Yes</v>
      </c>
      <c r="H632">
        <f t="shared" si="19"/>
        <v>70</v>
      </c>
      <c r="I632" s="1">
        <f>IF(COUNTIF('Transaction Data'!A:A,A632)&gt;5,20,0)+IF(COUNTIFS('Transaction Data'!A:A,A632,'Transaction Data'!G:G,"Yes")&gt;2,30,0)</f>
        <v>0</v>
      </c>
      <c r="J632">
        <f>'Client Master Data'!I632+'Client Master Data'!J632+H632+I632</f>
        <v>70</v>
      </c>
    </row>
    <row r="633" spans="1:10">
      <c r="A633">
        <v>1113</v>
      </c>
      <c r="B633" t="s">
        <v>1393</v>
      </c>
      <c r="C633" t="s">
        <v>937</v>
      </c>
      <c r="D633">
        <v>31136</v>
      </c>
      <c r="E633" t="s">
        <v>593</v>
      </c>
      <c r="F633" t="s">
        <v>17</v>
      </c>
      <c r="G633" t="str">
        <f t="shared" si="18"/>
        <v>Yes</v>
      </c>
      <c r="H633">
        <f t="shared" si="19"/>
        <v>40</v>
      </c>
      <c r="I633" s="1">
        <f>IF(COUNTIF('Transaction Data'!A:A,A633)&gt;5,20,0)+IF(COUNTIFS('Transaction Data'!A:A,A633,'Transaction Data'!G:G,"Yes")&gt;2,30,0)</f>
        <v>0</v>
      </c>
      <c r="J633">
        <f>'Client Master Data'!I633+'Client Master Data'!J633+H633+I633</f>
        <v>40</v>
      </c>
    </row>
    <row r="634" spans="1:10">
      <c r="A634">
        <v>1227</v>
      </c>
      <c r="B634" t="s">
        <v>1394</v>
      </c>
      <c r="C634" t="s">
        <v>795</v>
      </c>
      <c r="D634">
        <v>61420</v>
      </c>
      <c r="E634" t="s">
        <v>588</v>
      </c>
      <c r="F634" t="s">
        <v>23</v>
      </c>
      <c r="G634" t="str">
        <f t="shared" si="18"/>
        <v>No</v>
      </c>
      <c r="H634">
        <f t="shared" si="19"/>
        <v>0</v>
      </c>
      <c r="I634" s="1">
        <f>IF(COUNTIF('Transaction Data'!A:A,A634)&gt;5,20,0)+IF(COUNTIFS('Transaction Data'!A:A,A634,'Transaction Data'!G:G,"Yes")&gt;2,30,0)</f>
        <v>0</v>
      </c>
      <c r="J634">
        <f>'Client Master Data'!I634+'Client Master Data'!J634+H634+I634</f>
        <v>0</v>
      </c>
    </row>
    <row r="635" spans="1:10">
      <c r="A635">
        <v>1086</v>
      </c>
      <c r="B635" t="s">
        <v>1395</v>
      </c>
      <c r="C635" t="s">
        <v>769</v>
      </c>
      <c r="D635">
        <v>94809</v>
      </c>
      <c r="E635" t="s">
        <v>600</v>
      </c>
      <c r="F635" t="s">
        <v>23</v>
      </c>
      <c r="G635" t="str">
        <f t="shared" si="18"/>
        <v>No</v>
      </c>
      <c r="H635">
        <f t="shared" si="19"/>
        <v>0</v>
      </c>
      <c r="I635" s="1">
        <f>IF(COUNTIF('Transaction Data'!A:A,A635)&gt;5,20,0)+IF(COUNTIFS('Transaction Data'!A:A,A635,'Transaction Data'!G:G,"Yes")&gt;2,30,0)</f>
        <v>0</v>
      </c>
      <c r="J635">
        <f>'Client Master Data'!I635+'Client Master Data'!J635+H635+I635</f>
        <v>0</v>
      </c>
    </row>
    <row r="636" spans="1:10">
      <c r="A636">
        <v>1474</v>
      </c>
      <c r="B636" t="s">
        <v>1396</v>
      </c>
      <c r="C636" t="s">
        <v>740</v>
      </c>
      <c r="D636">
        <v>232180</v>
      </c>
      <c r="E636" t="s">
        <v>593</v>
      </c>
      <c r="F636" t="s">
        <v>17</v>
      </c>
      <c r="G636" t="str">
        <f t="shared" si="18"/>
        <v>Yes</v>
      </c>
      <c r="H636">
        <f t="shared" si="19"/>
        <v>70</v>
      </c>
      <c r="I636" s="1">
        <f>IF(COUNTIF('Transaction Data'!A:A,A636)&gt;5,20,0)+IF(COUNTIFS('Transaction Data'!A:A,A636,'Transaction Data'!G:G,"Yes")&gt;2,30,0)</f>
        <v>0</v>
      </c>
      <c r="J636">
        <f>'Client Master Data'!I636+'Client Master Data'!J636+H636+I636</f>
        <v>70</v>
      </c>
    </row>
    <row r="637" spans="1:10">
      <c r="A637">
        <v>1047</v>
      </c>
      <c r="B637" t="s">
        <v>1397</v>
      </c>
      <c r="C637" t="s">
        <v>644</v>
      </c>
      <c r="D637">
        <v>242309</v>
      </c>
      <c r="E637" t="s">
        <v>593</v>
      </c>
      <c r="F637" t="s">
        <v>27</v>
      </c>
      <c r="G637" t="str">
        <f t="shared" si="18"/>
        <v>Yes</v>
      </c>
      <c r="H637">
        <f t="shared" si="19"/>
        <v>70</v>
      </c>
      <c r="I637" s="1">
        <f>IF(COUNTIF('Transaction Data'!A:A,A637)&gt;5,20,0)+IF(COUNTIFS('Transaction Data'!A:A,A637,'Transaction Data'!G:G,"Yes")&gt;2,30,0)</f>
        <v>0</v>
      </c>
      <c r="J637">
        <f>'Client Master Data'!I637+'Client Master Data'!J637+H637+I637</f>
        <v>70</v>
      </c>
    </row>
    <row r="638" spans="1:10">
      <c r="A638">
        <v>1293</v>
      </c>
      <c r="B638" t="s">
        <v>1398</v>
      </c>
      <c r="C638" t="s">
        <v>919</v>
      </c>
      <c r="D638">
        <v>144587</v>
      </c>
      <c r="E638" t="s">
        <v>593</v>
      </c>
      <c r="F638" t="s">
        <v>54</v>
      </c>
      <c r="G638" t="str">
        <f t="shared" si="18"/>
        <v>Yes</v>
      </c>
      <c r="H638">
        <f t="shared" si="19"/>
        <v>70</v>
      </c>
      <c r="I638" s="1">
        <f>IF(COUNTIF('Transaction Data'!A:A,A638)&gt;5,20,0)+IF(COUNTIFS('Transaction Data'!A:A,A638,'Transaction Data'!G:G,"Yes")&gt;2,30,0)</f>
        <v>0</v>
      </c>
      <c r="J638">
        <f>'Client Master Data'!I638+'Client Master Data'!J638+H638+I638</f>
        <v>70</v>
      </c>
    </row>
    <row r="639" spans="1:10">
      <c r="A639">
        <v>1423</v>
      </c>
      <c r="B639" t="s">
        <v>1399</v>
      </c>
      <c r="C639" t="s">
        <v>1400</v>
      </c>
      <c r="D639">
        <v>301052</v>
      </c>
      <c r="E639" t="s">
        <v>593</v>
      </c>
      <c r="F639" t="s">
        <v>39</v>
      </c>
      <c r="G639" t="str">
        <f t="shared" si="18"/>
        <v>Yes</v>
      </c>
      <c r="H639">
        <f t="shared" si="19"/>
        <v>70</v>
      </c>
      <c r="I639" s="1">
        <f>IF(COUNTIF('Transaction Data'!A:A,A639)&gt;5,20,0)+IF(COUNTIFS('Transaction Data'!A:A,A639,'Transaction Data'!G:G,"Yes")&gt;2,30,0)</f>
        <v>0</v>
      </c>
      <c r="J639">
        <f>'Client Master Data'!I639+'Client Master Data'!J639+H639+I639</f>
        <v>70</v>
      </c>
    </row>
    <row r="640" spans="1:10">
      <c r="A640">
        <v>1022</v>
      </c>
      <c r="B640" t="s">
        <v>1401</v>
      </c>
      <c r="C640" t="s">
        <v>602</v>
      </c>
      <c r="D640">
        <v>477301</v>
      </c>
      <c r="E640" t="s">
        <v>588</v>
      </c>
      <c r="F640" t="s">
        <v>54</v>
      </c>
      <c r="G640" t="str">
        <f t="shared" si="18"/>
        <v>Yes</v>
      </c>
      <c r="H640">
        <f t="shared" si="19"/>
        <v>70</v>
      </c>
      <c r="I640" s="1">
        <f>IF(COUNTIF('Transaction Data'!A:A,A640)&gt;5,20,0)+IF(COUNTIFS('Transaction Data'!A:A,A640,'Transaction Data'!G:G,"Yes")&gt;2,30,0)</f>
        <v>0</v>
      </c>
      <c r="J640">
        <f>'Client Master Data'!I640+'Client Master Data'!J640+H640+I640</f>
        <v>70</v>
      </c>
    </row>
    <row r="641" spans="1:10">
      <c r="A641">
        <v>1387</v>
      </c>
      <c r="B641" t="s">
        <v>1402</v>
      </c>
      <c r="C641" t="s">
        <v>669</v>
      </c>
      <c r="D641">
        <v>460887</v>
      </c>
      <c r="E641" t="s">
        <v>593</v>
      </c>
      <c r="F641" t="s">
        <v>27</v>
      </c>
      <c r="G641" t="str">
        <f t="shared" si="18"/>
        <v>Yes</v>
      </c>
      <c r="H641">
        <f t="shared" si="19"/>
        <v>70</v>
      </c>
      <c r="I641" s="1">
        <f>IF(COUNTIF('Transaction Data'!A:A,A641)&gt;5,20,0)+IF(COUNTIFS('Transaction Data'!A:A,A641,'Transaction Data'!G:G,"Yes")&gt;2,30,0)</f>
        <v>30</v>
      </c>
      <c r="J641">
        <f>'Client Master Data'!I641+'Client Master Data'!J641+H641+I641</f>
        <v>100</v>
      </c>
    </row>
    <row r="642" spans="1:10">
      <c r="A642">
        <v>1482</v>
      </c>
      <c r="B642" t="s">
        <v>1403</v>
      </c>
      <c r="C642" t="s">
        <v>789</v>
      </c>
      <c r="D642">
        <v>196141</v>
      </c>
      <c r="E642" t="s">
        <v>593</v>
      </c>
      <c r="F642" t="s">
        <v>23</v>
      </c>
      <c r="G642" t="str">
        <f t="shared" ref="G642:G705" si="20">IF(OR(D642&gt;100000,F642="UAE",F642="Nigeria"),"Yes","No")</f>
        <v>Yes</v>
      </c>
      <c r="H642">
        <f t="shared" si="19"/>
        <v>70</v>
      </c>
      <c r="I642" s="1">
        <f>IF(COUNTIF('Transaction Data'!A:A,A642)&gt;5,20,0)+IF(COUNTIFS('Transaction Data'!A:A,A642,'Transaction Data'!G:G,"Yes")&gt;2,30,0)</f>
        <v>30</v>
      </c>
      <c r="J642">
        <f>'Client Master Data'!I642+'Client Master Data'!J642+H642+I642</f>
        <v>100</v>
      </c>
    </row>
    <row r="643" spans="1:10">
      <c r="A643">
        <v>1153</v>
      </c>
      <c r="B643" t="s">
        <v>1404</v>
      </c>
      <c r="C643" t="s">
        <v>878</v>
      </c>
      <c r="D643">
        <v>372199</v>
      </c>
      <c r="E643" t="s">
        <v>588</v>
      </c>
      <c r="F643" t="s">
        <v>39</v>
      </c>
      <c r="G643" t="str">
        <f t="shared" si="20"/>
        <v>Yes</v>
      </c>
      <c r="H643">
        <f t="shared" ref="H643:H706" si="21">IF(D643&gt;100000,30,0)+IF(TRIM(LOWER(G643))="yes",40,0)</f>
        <v>70</v>
      </c>
      <c r="I643" s="1">
        <f>IF(COUNTIF('Transaction Data'!A:A,A643)&gt;5,20,0)+IF(COUNTIFS('Transaction Data'!A:A,A643,'Transaction Data'!G:G,"Yes")&gt;2,30,0)</f>
        <v>0</v>
      </c>
      <c r="J643">
        <f>'Client Master Data'!I643+'Client Master Data'!J643+H643+I643</f>
        <v>70</v>
      </c>
    </row>
    <row r="644" spans="1:10">
      <c r="A644">
        <v>1391</v>
      </c>
      <c r="B644" t="s">
        <v>1405</v>
      </c>
      <c r="C644" t="s">
        <v>682</v>
      </c>
      <c r="D644">
        <v>291143</v>
      </c>
      <c r="E644" t="s">
        <v>600</v>
      </c>
      <c r="F644" t="s">
        <v>17</v>
      </c>
      <c r="G644" t="str">
        <f t="shared" si="20"/>
        <v>Yes</v>
      </c>
      <c r="H644">
        <f t="shared" si="21"/>
        <v>70</v>
      </c>
      <c r="I644" s="1">
        <f>IF(COUNTIF('Transaction Data'!A:A,A644)&gt;5,20,0)+IF(COUNTIFS('Transaction Data'!A:A,A644,'Transaction Data'!G:G,"Yes")&gt;2,30,0)</f>
        <v>30</v>
      </c>
      <c r="J644">
        <f>'Client Master Data'!I644+'Client Master Data'!J644+H644+I644</f>
        <v>100</v>
      </c>
    </row>
    <row r="645" spans="1:10">
      <c r="A645">
        <v>1141</v>
      </c>
      <c r="B645" t="s">
        <v>1406</v>
      </c>
      <c r="C645" t="s">
        <v>861</v>
      </c>
      <c r="D645">
        <v>224888</v>
      </c>
      <c r="E645" t="s">
        <v>593</v>
      </c>
      <c r="F645" t="s">
        <v>17</v>
      </c>
      <c r="G645" t="str">
        <f t="shared" si="20"/>
        <v>Yes</v>
      </c>
      <c r="H645">
        <f t="shared" si="21"/>
        <v>70</v>
      </c>
      <c r="I645" s="1">
        <f>IF(COUNTIF('Transaction Data'!A:A,A645)&gt;5,20,0)+IF(COUNTIFS('Transaction Data'!A:A,A645,'Transaction Data'!G:G,"Yes")&gt;2,30,0)</f>
        <v>0</v>
      </c>
      <c r="J645">
        <f>'Client Master Data'!I645+'Client Master Data'!J645+H645+I645</f>
        <v>70</v>
      </c>
    </row>
    <row r="646" spans="1:10">
      <c r="A646">
        <v>1089</v>
      </c>
      <c r="B646" t="s">
        <v>1407</v>
      </c>
      <c r="C646" t="s">
        <v>789</v>
      </c>
      <c r="D646">
        <v>378395</v>
      </c>
      <c r="E646" t="s">
        <v>593</v>
      </c>
      <c r="F646" t="s">
        <v>27</v>
      </c>
      <c r="G646" t="str">
        <f t="shared" si="20"/>
        <v>Yes</v>
      </c>
      <c r="H646">
        <f t="shared" si="21"/>
        <v>70</v>
      </c>
      <c r="I646" s="1">
        <f>IF(COUNTIF('Transaction Data'!A:A,A646)&gt;5,20,0)+IF(COUNTIFS('Transaction Data'!A:A,A646,'Transaction Data'!G:G,"Yes")&gt;2,30,0)</f>
        <v>30</v>
      </c>
      <c r="J646">
        <f>'Client Master Data'!I646+'Client Master Data'!J646+H646+I646</f>
        <v>100</v>
      </c>
    </row>
    <row r="647" spans="1:10">
      <c r="A647">
        <v>1061</v>
      </c>
      <c r="B647" t="s">
        <v>1408</v>
      </c>
      <c r="C647" t="s">
        <v>989</v>
      </c>
      <c r="D647">
        <v>428341</v>
      </c>
      <c r="E647" t="s">
        <v>600</v>
      </c>
      <c r="F647" t="s">
        <v>17</v>
      </c>
      <c r="G647" t="str">
        <f t="shared" si="20"/>
        <v>Yes</v>
      </c>
      <c r="H647">
        <f t="shared" si="21"/>
        <v>70</v>
      </c>
      <c r="I647" s="1">
        <f>IF(COUNTIF('Transaction Data'!A:A,A647)&gt;5,20,0)+IF(COUNTIFS('Transaction Data'!A:A,A647,'Transaction Data'!G:G,"Yes")&gt;2,30,0)</f>
        <v>30</v>
      </c>
      <c r="J647">
        <f>'Client Master Data'!I647+'Client Master Data'!J647+H647+I647</f>
        <v>100</v>
      </c>
    </row>
    <row r="648" spans="1:10">
      <c r="A648">
        <v>1485</v>
      </c>
      <c r="B648" t="s">
        <v>1409</v>
      </c>
      <c r="C648" t="s">
        <v>1031</v>
      </c>
      <c r="D648">
        <v>44357</v>
      </c>
      <c r="E648" t="s">
        <v>600</v>
      </c>
      <c r="F648" t="s">
        <v>23</v>
      </c>
      <c r="G648" t="str">
        <f t="shared" si="20"/>
        <v>No</v>
      </c>
      <c r="H648">
        <f t="shared" si="21"/>
        <v>0</v>
      </c>
      <c r="I648" s="1">
        <f>IF(COUNTIF('Transaction Data'!A:A,A648)&gt;5,20,0)+IF(COUNTIFS('Transaction Data'!A:A,A648,'Transaction Data'!G:G,"Yes")&gt;2,30,0)</f>
        <v>0</v>
      </c>
      <c r="J648">
        <f>'Client Master Data'!I648+'Client Master Data'!J648+H648+I648</f>
        <v>0</v>
      </c>
    </row>
    <row r="649" spans="1:10">
      <c r="A649">
        <v>1071</v>
      </c>
      <c r="B649" t="s">
        <v>1410</v>
      </c>
      <c r="C649" t="s">
        <v>646</v>
      </c>
      <c r="D649">
        <v>325699</v>
      </c>
      <c r="E649" t="s">
        <v>593</v>
      </c>
      <c r="F649" t="s">
        <v>11</v>
      </c>
      <c r="G649" t="str">
        <f t="shared" si="20"/>
        <v>Yes</v>
      </c>
      <c r="H649">
        <f t="shared" si="21"/>
        <v>70</v>
      </c>
      <c r="I649" s="1">
        <f>IF(COUNTIF('Transaction Data'!A:A,A649)&gt;5,20,0)+IF(COUNTIFS('Transaction Data'!A:A,A649,'Transaction Data'!G:G,"Yes")&gt;2,30,0)</f>
        <v>30</v>
      </c>
      <c r="J649">
        <f>'Client Master Data'!I649+'Client Master Data'!J649+H649+I649</f>
        <v>100</v>
      </c>
    </row>
    <row r="650" spans="1:10">
      <c r="A650">
        <v>1549</v>
      </c>
      <c r="B650" t="s">
        <v>1411</v>
      </c>
      <c r="C650" t="s">
        <v>616</v>
      </c>
      <c r="D650">
        <v>330627</v>
      </c>
      <c r="E650" t="s">
        <v>600</v>
      </c>
      <c r="F650" t="s">
        <v>54</v>
      </c>
      <c r="G650" t="str">
        <f t="shared" si="20"/>
        <v>Yes</v>
      </c>
      <c r="H650">
        <f t="shared" si="21"/>
        <v>70</v>
      </c>
      <c r="I650" s="1">
        <f>IF(COUNTIF('Transaction Data'!A:A,A650)&gt;5,20,0)+IF(COUNTIFS('Transaction Data'!A:A,A650,'Transaction Data'!G:G,"Yes")&gt;2,30,0)</f>
        <v>30</v>
      </c>
      <c r="J650">
        <f>'Client Master Data'!I650+'Client Master Data'!J650+H650+I650</f>
        <v>100</v>
      </c>
    </row>
    <row r="651" spans="1:10">
      <c r="A651">
        <v>1059</v>
      </c>
      <c r="B651" t="s">
        <v>1412</v>
      </c>
      <c r="C651" t="s">
        <v>967</v>
      </c>
      <c r="D651">
        <v>460271</v>
      </c>
      <c r="E651" t="s">
        <v>600</v>
      </c>
      <c r="F651" t="s">
        <v>11</v>
      </c>
      <c r="G651" t="str">
        <f t="shared" si="20"/>
        <v>Yes</v>
      </c>
      <c r="H651">
        <f t="shared" si="21"/>
        <v>70</v>
      </c>
      <c r="I651" s="1">
        <f>IF(COUNTIF('Transaction Data'!A:A,A651)&gt;5,20,0)+IF(COUNTIFS('Transaction Data'!A:A,A651,'Transaction Data'!G:G,"Yes")&gt;2,30,0)</f>
        <v>0</v>
      </c>
      <c r="J651">
        <f>'Client Master Data'!I651+'Client Master Data'!J651+H651+I651</f>
        <v>70</v>
      </c>
    </row>
    <row r="652" spans="1:10">
      <c r="A652">
        <v>1440</v>
      </c>
      <c r="B652" t="s">
        <v>1413</v>
      </c>
      <c r="C652" t="s">
        <v>1036</v>
      </c>
      <c r="D652">
        <v>492342</v>
      </c>
      <c r="E652" t="s">
        <v>588</v>
      </c>
      <c r="F652" t="s">
        <v>11</v>
      </c>
      <c r="G652" t="str">
        <f t="shared" si="20"/>
        <v>Yes</v>
      </c>
      <c r="H652">
        <f t="shared" si="21"/>
        <v>70</v>
      </c>
      <c r="I652" s="1">
        <f>IF(COUNTIF('Transaction Data'!A:A,A652)&gt;5,20,0)+IF(COUNTIFS('Transaction Data'!A:A,A652,'Transaction Data'!G:G,"Yes")&gt;2,30,0)</f>
        <v>30</v>
      </c>
      <c r="J652">
        <f>'Client Master Data'!I652+'Client Master Data'!J652+H652+I652</f>
        <v>100</v>
      </c>
    </row>
    <row r="653" spans="1:10">
      <c r="A653">
        <v>1153</v>
      </c>
      <c r="B653" t="s">
        <v>1414</v>
      </c>
      <c r="C653" t="s">
        <v>836</v>
      </c>
      <c r="D653">
        <v>1019</v>
      </c>
      <c r="E653" t="s">
        <v>593</v>
      </c>
      <c r="F653" t="s">
        <v>39</v>
      </c>
      <c r="G653" t="str">
        <f t="shared" si="20"/>
        <v>No</v>
      </c>
      <c r="H653">
        <f t="shared" si="21"/>
        <v>0</v>
      </c>
      <c r="I653" s="1">
        <f>IF(COUNTIF('Transaction Data'!A:A,A653)&gt;5,20,0)+IF(COUNTIFS('Transaction Data'!A:A,A653,'Transaction Data'!G:G,"Yes")&gt;2,30,0)</f>
        <v>0</v>
      </c>
      <c r="J653">
        <f>'Client Master Data'!I653+'Client Master Data'!J653+H653+I653</f>
        <v>0</v>
      </c>
    </row>
    <row r="654" spans="1:10">
      <c r="A654">
        <v>1465</v>
      </c>
      <c r="B654" t="s">
        <v>1415</v>
      </c>
      <c r="C654" t="s">
        <v>602</v>
      </c>
      <c r="D654">
        <v>3280</v>
      </c>
      <c r="E654" t="s">
        <v>600</v>
      </c>
      <c r="F654" t="s">
        <v>54</v>
      </c>
      <c r="G654" t="str">
        <f t="shared" si="20"/>
        <v>Yes</v>
      </c>
      <c r="H654">
        <f t="shared" si="21"/>
        <v>40</v>
      </c>
      <c r="I654" s="1">
        <f>IF(COUNTIF('Transaction Data'!A:A,A654)&gt;5,20,0)+IF(COUNTIFS('Transaction Data'!A:A,A654,'Transaction Data'!G:G,"Yes")&gt;2,30,0)</f>
        <v>30</v>
      </c>
      <c r="J654">
        <f>'Client Master Data'!I654+'Client Master Data'!J654+H654+I654</f>
        <v>70</v>
      </c>
    </row>
    <row r="655" spans="1:10">
      <c r="A655">
        <v>1283</v>
      </c>
      <c r="B655" t="s">
        <v>1416</v>
      </c>
      <c r="C655" t="s">
        <v>1028</v>
      </c>
      <c r="D655">
        <v>326377</v>
      </c>
      <c r="E655" t="s">
        <v>600</v>
      </c>
      <c r="F655" t="s">
        <v>54</v>
      </c>
      <c r="G655" t="str">
        <f t="shared" si="20"/>
        <v>Yes</v>
      </c>
      <c r="H655">
        <f t="shared" si="21"/>
        <v>70</v>
      </c>
      <c r="I655" s="1">
        <f>IF(COUNTIF('Transaction Data'!A:A,A655)&gt;5,20,0)+IF(COUNTIFS('Transaction Data'!A:A,A655,'Transaction Data'!G:G,"Yes")&gt;2,30,0)</f>
        <v>0</v>
      </c>
      <c r="J655">
        <f>'Client Master Data'!I655+'Client Master Data'!J655+H655+I655</f>
        <v>70</v>
      </c>
    </row>
    <row r="656" spans="1:10">
      <c r="A656">
        <v>1013</v>
      </c>
      <c r="B656" t="s">
        <v>1417</v>
      </c>
      <c r="C656" t="s">
        <v>851</v>
      </c>
      <c r="D656">
        <v>275865</v>
      </c>
      <c r="E656" t="s">
        <v>600</v>
      </c>
      <c r="F656" t="s">
        <v>27</v>
      </c>
      <c r="G656" t="str">
        <f t="shared" si="20"/>
        <v>Yes</v>
      </c>
      <c r="H656">
        <f t="shared" si="21"/>
        <v>70</v>
      </c>
      <c r="I656" s="1">
        <f>IF(COUNTIF('Transaction Data'!A:A,A656)&gt;5,20,0)+IF(COUNTIFS('Transaction Data'!A:A,A656,'Transaction Data'!G:G,"Yes")&gt;2,30,0)</f>
        <v>0</v>
      </c>
      <c r="J656">
        <f>'Client Master Data'!I656+'Client Master Data'!J656+H656+I656</f>
        <v>70</v>
      </c>
    </row>
    <row r="657" spans="1:10">
      <c r="A657">
        <v>1208</v>
      </c>
      <c r="B657" t="s">
        <v>1418</v>
      </c>
      <c r="C657" t="s">
        <v>946</v>
      </c>
      <c r="D657">
        <v>191432</v>
      </c>
      <c r="E657" t="s">
        <v>593</v>
      </c>
      <c r="F657" t="s">
        <v>54</v>
      </c>
      <c r="G657" t="str">
        <f t="shared" si="20"/>
        <v>Yes</v>
      </c>
      <c r="H657">
        <f t="shared" si="21"/>
        <v>70</v>
      </c>
      <c r="I657" s="1">
        <f>IF(COUNTIF('Transaction Data'!A:A,A657)&gt;5,20,0)+IF(COUNTIFS('Transaction Data'!A:A,A657,'Transaction Data'!G:G,"Yes")&gt;2,30,0)</f>
        <v>0</v>
      </c>
      <c r="J657">
        <f>'Client Master Data'!I657+'Client Master Data'!J657+H657+I657</f>
        <v>70</v>
      </c>
    </row>
    <row r="658" spans="1:10">
      <c r="A658">
        <v>1356</v>
      </c>
      <c r="B658" t="s">
        <v>1419</v>
      </c>
      <c r="C658" t="s">
        <v>818</v>
      </c>
      <c r="D658">
        <v>429887</v>
      </c>
      <c r="E658" t="s">
        <v>600</v>
      </c>
      <c r="F658" t="s">
        <v>17</v>
      </c>
      <c r="G658" t="str">
        <f t="shared" si="20"/>
        <v>Yes</v>
      </c>
      <c r="H658">
        <f t="shared" si="21"/>
        <v>70</v>
      </c>
      <c r="I658" s="1">
        <f>IF(COUNTIF('Transaction Data'!A:A,A658)&gt;5,20,0)+IF(COUNTIFS('Transaction Data'!A:A,A658,'Transaction Data'!G:G,"Yes")&gt;2,30,0)</f>
        <v>0</v>
      </c>
      <c r="J658">
        <f>'Client Master Data'!I658+'Client Master Data'!J658+H658+I658</f>
        <v>70</v>
      </c>
    </row>
    <row r="659" spans="1:10">
      <c r="A659">
        <v>1030</v>
      </c>
      <c r="B659" t="s">
        <v>1420</v>
      </c>
      <c r="C659" t="s">
        <v>861</v>
      </c>
      <c r="D659">
        <v>411303</v>
      </c>
      <c r="E659" t="s">
        <v>600</v>
      </c>
      <c r="F659" t="s">
        <v>54</v>
      </c>
      <c r="G659" t="str">
        <f t="shared" si="20"/>
        <v>Yes</v>
      </c>
      <c r="H659">
        <f t="shared" si="21"/>
        <v>70</v>
      </c>
      <c r="I659" s="1">
        <f>IF(COUNTIF('Transaction Data'!A:A,A659)&gt;5,20,0)+IF(COUNTIFS('Transaction Data'!A:A,A659,'Transaction Data'!G:G,"Yes")&gt;2,30,0)</f>
        <v>30</v>
      </c>
      <c r="J659">
        <f>'Client Master Data'!I659+'Client Master Data'!J659+H659+I659</f>
        <v>100</v>
      </c>
    </row>
    <row r="660" spans="1:10">
      <c r="A660">
        <v>1451</v>
      </c>
      <c r="B660" t="s">
        <v>1421</v>
      </c>
      <c r="C660" t="s">
        <v>638</v>
      </c>
      <c r="D660">
        <v>368066</v>
      </c>
      <c r="E660" t="s">
        <v>588</v>
      </c>
      <c r="F660" t="s">
        <v>17</v>
      </c>
      <c r="G660" t="str">
        <f t="shared" si="20"/>
        <v>Yes</v>
      </c>
      <c r="H660">
        <f t="shared" si="21"/>
        <v>70</v>
      </c>
      <c r="I660" s="1">
        <f>IF(COUNTIF('Transaction Data'!A:A,A660)&gt;5,20,0)+IF(COUNTIFS('Transaction Data'!A:A,A660,'Transaction Data'!G:G,"Yes")&gt;2,30,0)</f>
        <v>30</v>
      </c>
      <c r="J660">
        <f>'Client Master Data'!I660+'Client Master Data'!J660+H660+I660</f>
        <v>100</v>
      </c>
    </row>
    <row r="661" spans="1:10">
      <c r="A661">
        <v>1052</v>
      </c>
      <c r="B661" t="s">
        <v>1422</v>
      </c>
      <c r="C661" t="s">
        <v>798</v>
      </c>
      <c r="D661">
        <v>175808</v>
      </c>
      <c r="E661" t="s">
        <v>593</v>
      </c>
      <c r="F661" t="s">
        <v>27</v>
      </c>
      <c r="G661" t="str">
        <f t="shared" si="20"/>
        <v>Yes</v>
      </c>
      <c r="H661">
        <f t="shared" si="21"/>
        <v>70</v>
      </c>
      <c r="I661" s="1">
        <f>IF(COUNTIF('Transaction Data'!A:A,A661)&gt;5,20,0)+IF(COUNTIFS('Transaction Data'!A:A,A661,'Transaction Data'!G:G,"Yes")&gt;2,30,0)</f>
        <v>0</v>
      </c>
      <c r="J661">
        <f>'Client Master Data'!I661+'Client Master Data'!J661+H661+I661</f>
        <v>70</v>
      </c>
    </row>
    <row r="662" spans="1:10">
      <c r="A662">
        <v>1458</v>
      </c>
      <c r="B662" t="s">
        <v>1423</v>
      </c>
      <c r="C662" t="s">
        <v>807</v>
      </c>
      <c r="D662">
        <v>211261</v>
      </c>
      <c r="E662" t="s">
        <v>600</v>
      </c>
      <c r="F662" t="s">
        <v>39</v>
      </c>
      <c r="G662" t="str">
        <f t="shared" si="20"/>
        <v>Yes</v>
      </c>
      <c r="H662">
        <f t="shared" si="21"/>
        <v>70</v>
      </c>
      <c r="I662" s="1">
        <f>IF(COUNTIF('Transaction Data'!A:A,A662)&gt;5,20,0)+IF(COUNTIFS('Transaction Data'!A:A,A662,'Transaction Data'!G:G,"Yes")&gt;2,30,0)</f>
        <v>30</v>
      </c>
      <c r="J662">
        <f>'Client Master Data'!I662+'Client Master Data'!J662+H662+I662</f>
        <v>100</v>
      </c>
    </row>
    <row r="663" spans="1:10">
      <c r="A663">
        <v>1001</v>
      </c>
      <c r="B663" t="s">
        <v>1424</v>
      </c>
      <c r="C663" t="s">
        <v>1053</v>
      </c>
      <c r="D663">
        <v>388008</v>
      </c>
      <c r="E663" t="s">
        <v>588</v>
      </c>
      <c r="F663" t="s">
        <v>54</v>
      </c>
      <c r="G663" t="str">
        <f t="shared" si="20"/>
        <v>Yes</v>
      </c>
      <c r="H663">
        <f t="shared" si="21"/>
        <v>70</v>
      </c>
      <c r="I663" s="1">
        <f>IF(COUNTIF('Transaction Data'!A:A,A663)&gt;5,20,0)+IF(COUNTIFS('Transaction Data'!A:A,A663,'Transaction Data'!G:G,"Yes")&gt;2,30,0)</f>
        <v>0</v>
      </c>
      <c r="J663">
        <f>'Client Master Data'!I663+'Client Master Data'!J663+H663+I663</f>
        <v>70</v>
      </c>
    </row>
    <row r="664" spans="1:10">
      <c r="A664">
        <v>1008</v>
      </c>
      <c r="B664" t="s">
        <v>1425</v>
      </c>
      <c r="C664" t="s">
        <v>946</v>
      </c>
      <c r="D664">
        <v>364226</v>
      </c>
      <c r="E664" t="s">
        <v>593</v>
      </c>
      <c r="F664" t="s">
        <v>23</v>
      </c>
      <c r="G664" t="str">
        <f t="shared" si="20"/>
        <v>Yes</v>
      </c>
      <c r="H664">
        <f t="shared" si="21"/>
        <v>70</v>
      </c>
      <c r="I664" s="1">
        <f>IF(COUNTIF('Transaction Data'!A:A,A664)&gt;5,20,0)+IF(COUNTIFS('Transaction Data'!A:A,A664,'Transaction Data'!G:G,"Yes")&gt;2,30,0)</f>
        <v>0</v>
      </c>
      <c r="J664">
        <f>'Client Master Data'!I664+'Client Master Data'!J664+H664+I664</f>
        <v>70</v>
      </c>
    </row>
    <row r="665" spans="1:10">
      <c r="A665">
        <v>1512</v>
      </c>
      <c r="B665" t="s">
        <v>1426</v>
      </c>
      <c r="C665" t="s">
        <v>1234</v>
      </c>
      <c r="D665">
        <v>410896</v>
      </c>
      <c r="E665" t="s">
        <v>600</v>
      </c>
      <c r="F665" t="s">
        <v>54</v>
      </c>
      <c r="G665" t="str">
        <f t="shared" si="20"/>
        <v>Yes</v>
      </c>
      <c r="H665">
        <f t="shared" si="21"/>
        <v>70</v>
      </c>
      <c r="I665" s="1">
        <f>IF(COUNTIF('Transaction Data'!A:A,A665)&gt;5,20,0)+IF(COUNTIFS('Transaction Data'!A:A,A665,'Transaction Data'!G:G,"Yes")&gt;2,30,0)</f>
        <v>30</v>
      </c>
      <c r="J665">
        <f>'Client Master Data'!I665+'Client Master Data'!J665+H665+I665</f>
        <v>100</v>
      </c>
    </row>
    <row r="666" spans="1:10">
      <c r="A666">
        <v>1010</v>
      </c>
      <c r="B666" t="s">
        <v>1427</v>
      </c>
      <c r="C666" t="s">
        <v>687</v>
      </c>
      <c r="D666">
        <v>415705</v>
      </c>
      <c r="E666" t="s">
        <v>600</v>
      </c>
      <c r="F666" t="s">
        <v>17</v>
      </c>
      <c r="G666" t="str">
        <f t="shared" si="20"/>
        <v>Yes</v>
      </c>
      <c r="H666">
        <f t="shared" si="21"/>
        <v>70</v>
      </c>
      <c r="I666" s="1">
        <f>IF(COUNTIF('Transaction Data'!A:A,A666)&gt;5,20,0)+IF(COUNTIFS('Transaction Data'!A:A,A666,'Transaction Data'!G:G,"Yes")&gt;2,30,0)</f>
        <v>0</v>
      </c>
      <c r="J666">
        <f>'Client Master Data'!I666+'Client Master Data'!J666+H666+I666</f>
        <v>70</v>
      </c>
    </row>
    <row r="667" spans="1:10">
      <c r="A667">
        <v>1080</v>
      </c>
      <c r="B667" t="s">
        <v>1428</v>
      </c>
      <c r="C667" t="s">
        <v>1400</v>
      </c>
      <c r="D667">
        <v>137122</v>
      </c>
      <c r="E667" t="s">
        <v>593</v>
      </c>
      <c r="F667" t="s">
        <v>11</v>
      </c>
      <c r="G667" t="str">
        <f t="shared" si="20"/>
        <v>Yes</v>
      </c>
      <c r="H667">
        <f t="shared" si="21"/>
        <v>70</v>
      </c>
      <c r="I667" s="1">
        <f>IF(COUNTIF('Transaction Data'!A:A,A667)&gt;5,20,0)+IF(COUNTIFS('Transaction Data'!A:A,A667,'Transaction Data'!G:G,"Yes")&gt;2,30,0)</f>
        <v>30</v>
      </c>
      <c r="J667">
        <f>'Client Master Data'!I667+'Client Master Data'!J667+H667+I667</f>
        <v>100</v>
      </c>
    </row>
    <row r="668" spans="1:10">
      <c r="A668">
        <v>1383</v>
      </c>
      <c r="B668" t="s">
        <v>1429</v>
      </c>
      <c r="C668" t="s">
        <v>868</v>
      </c>
      <c r="D668">
        <v>132351</v>
      </c>
      <c r="E668" t="s">
        <v>588</v>
      </c>
      <c r="F668" t="s">
        <v>23</v>
      </c>
      <c r="G668" t="str">
        <f t="shared" si="20"/>
        <v>Yes</v>
      </c>
      <c r="H668">
        <f t="shared" si="21"/>
        <v>70</v>
      </c>
      <c r="I668" s="1">
        <f>IF(COUNTIF('Transaction Data'!A:A,A668)&gt;5,20,0)+IF(COUNTIFS('Transaction Data'!A:A,A668,'Transaction Data'!G:G,"Yes")&gt;2,30,0)</f>
        <v>30</v>
      </c>
      <c r="J668">
        <f>'Client Master Data'!I668+'Client Master Data'!J668+H668+I668</f>
        <v>100</v>
      </c>
    </row>
    <row r="669" spans="1:10">
      <c r="A669">
        <v>1370</v>
      </c>
      <c r="B669" t="s">
        <v>1430</v>
      </c>
      <c r="C669" t="s">
        <v>939</v>
      </c>
      <c r="D669">
        <v>106307</v>
      </c>
      <c r="E669" t="s">
        <v>600</v>
      </c>
      <c r="F669" t="s">
        <v>27</v>
      </c>
      <c r="G669" t="str">
        <f t="shared" si="20"/>
        <v>Yes</v>
      </c>
      <c r="H669">
        <f t="shared" si="21"/>
        <v>70</v>
      </c>
      <c r="I669" s="1">
        <f>IF(COUNTIF('Transaction Data'!A:A,A669)&gt;5,20,0)+IF(COUNTIFS('Transaction Data'!A:A,A669,'Transaction Data'!G:G,"Yes")&gt;2,30,0)</f>
        <v>30</v>
      </c>
      <c r="J669">
        <f>'Client Master Data'!I669+'Client Master Data'!J669+H669+I669</f>
        <v>100</v>
      </c>
    </row>
    <row r="670" spans="1:10">
      <c r="A670">
        <v>1270</v>
      </c>
      <c r="B670" t="s">
        <v>1431</v>
      </c>
      <c r="C670" t="s">
        <v>713</v>
      </c>
      <c r="D670">
        <v>99782</v>
      </c>
      <c r="E670" t="s">
        <v>593</v>
      </c>
      <c r="F670" t="s">
        <v>11</v>
      </c>
      <c r="G670" t="str">
        <f t="shared" si="20"/>
        <v>No</v>
      </c>
      <c r="H670">
        <f t="shared" si="21"/>
        <v>0</v>
      </c>
      <c r="I670" s="1">
        <f>IF(COUNTIF('Transaction Data'!A:A,A670)&gt;5,20,0)+IF(COUNTIFS('Transaction Data'!A:A,A670,'Transaction Data'!G:G,"Yes")&gt;2,30,0)</f>
        <v>0</v>
      </c>
      <c r="J670">
        <f>'Client Master Data'!I670+'Client Master Data'!J670+H670+I670</f>
        <v>0</v>
      </c>
    </row>
    <row r="671" spans="1:10">
      <c r="A671">
        <v>1363</v>
      </c>
      <c r="B671" t="s">
        <v>1432</v>
      </c>
      <c r="C671" t="s">
        <v>694</v>
      </c>
      <c r="D671">
        <v>289356</v>
      </c>
      <c r="E671" t="s">
        <v>593</v>
      </c>
      <c r="F671" t="s">
        <v>17</v>
      </c>
      <c r="G671" t="str">
        <f t="shared" si="20"/>
        <v>Yes</v>
      </c>
      <c r="H671">
        <f t="shared" si="21"/>
        <v>70</v>
      </c>
      <c r="I671" s="1">
        <f>IF(COUNTIF('Transaction Data'!A:A,A671)&gt;5,20,0)+IF(COUNTIFS('Transaction Data'!A:A,A671,'Transaction Data'!G:G,"Yes")&gt;2,30,0)</f>
        <v>0</v>
      </c>
      <c r="J671">
        <f>'Client Master Data'!I671+'Client Master Data'!J671+H671+I671</f>
        <v>70</v>
      </c>
    </row>
    <row r="672" spans="1:10">
      <c r="A672">
        <v>1370</v>
      </c>
      <c r="B672" t="s">
        <v>1433</v>
      </c>
      <c r="C672" t="s">
        <v>758</v>
      </c>
      <c r="D672">
        <v>122348</v>
      </c>
      <c r="E672" t="s">
        <v>593</v>
      </c>
      <c r="F672" t="s">
        <v>11</v>
      </c>
      <c r="G672" t="str">
        <f t="shared" si="20"/>
        <v>Yes</v>
      </c>
      <c r="H672">
        <f t="shared" si="21"/>
        <v>70</v>
      </c>
      <c r="I672" s="1">
        <f>IF(COUNTIF('Transaction Data'!A:A,A672)&gt;5,20,0)+IF(COUNTIFS('Transaction Data'!A:A,A672,'Transaction Data'!G:G,"Yes")&gt;2,30,0)</f>
        <v>30</v>
      </c>
      <c r="J672">
        <f>'Client Master Data'!I672+'Client Master Data'!J672+H672+I672</f>
        <v>100</v>
      </c>
    </row>
    <row r="673" spans="1:10">
      <c r="A673">
        <v>1376</v>
      </c>
      <c r="B673" t="s">
        <v>1434</v>
      </c>
      <c r="C673" t="s">
        <v>842</v>
      </c>
      <c r="D673">
        <v>198969</v>
      </c>
      <c r="E673" t="s">
        <v>593</v>
      </c>
      <c r="F673" t="s">
        <v>11</v>
      </c>
      <c r="G673" t="str">
        <f t="shared" si="20"/>
        <v>Yes</v>
      </c>
      <c r="H673">
        <f t="shared" si="21"/>
        <v>70</v>
      </c>
      <c r="I673" s="1">
        <f>IF(COUNTIF('Transaction Data'!A:A,A673)&gt;5,20,0)+IF(COUNTIFS('Transaction Data'!A:A,A673,'Transaction Data'!G:G,"Yes")&gt;2,30,0)</f>
        <v>50</v>
      </c>
      <c r="J673">
        <f>'Client Master Data'!I673+'Client Master Data'!J673+H673+I673</f>
        <v>120</v>
      </c>
    </row>
    <row r="674" spans="1:10">
      <c r="A674">
        <v>1383</v>
      </c>
      <c r="B674" t="s">
        <v>1435</v>
      </c>
      <c r="C674" t="s">
        <v>1400</v>
      </c>
      <c r="D674">
        <v>488701</v>
      </c>
      <c r="E674" t="s">
        <v>593</v>
      </c>
      <c r="F674" t="s">
        <v>17</v>
      </c>
      <c r="G674" t="str">
        <f t="shared" si="20"/>
        <v>Yes</v>
      </c>
      <c r="H674">
        <f t="shared" si="21"/>
        <v>70</v>
      </c>
      <c r="I674" s="1">
        <f>IF(COUNTIF('Transaction Data'!A:A,A674)&gt;5,20,0)+IF(COUNTIFS('Transaction Data'!A:A,A674,'Transaction Data'!G:G,"Yes")&gt;2,30,0)</f>
        <v>30</v>
      </c>
      <c r="J674">
        <f>'Client Master Data'!I674+'Client Master Data'!J674+H674+I674</f>
        <v>100</v>
      </c>
    </row>
    <row r="675" spans="1:10">
      <c r="A675">
        <v>1079</v>
      </c>
      <c r="B675" t="s">
        <v>1436</v>
      </c>
      <c r="C675" t="s">
        <v>851</v>
      </c>
      <c r="D675">
        <v>213072</v>
      </c>
      <c r="E675" t="s">
        <v>593</v>
      </c>
      <c r="F675" t="s">
        <v>23</v>
      </c>
      <c r="G675" t="str">
        <f t="shared" si="20"/>
        <v>Yes</v>
      </c>
      <c r="H675">
        <f t="shared" si="21"/>
        <v>70</v>
      </c>
      <c r="I675" s="1">
        <f>IF(COUNTIF('Transaction Data'!A:A,A675)&gt;5,20,0)+IF(COUNTIFS('Transaction Data'!A:A,A675,'Transaction Data'!G:G,"Yes")&gt;2,30,0)</f>
        <v>0</v>
      </c>
      <c r="J675">
        <f>'Client Master Data'!I675+'Client Master Data'!J675+H675+I675</f>
        <v>70</v>
      </c>
    </row>
    <row r="676" spans="1:10">
      <c r="A676">
        <v>1205</v>
      </c>
      <c r="B676" t="s">
        <v>1437</v>
      </c>
      <c r="C676" t="s">
        <v>1006</v>
      </c>
      <c r="D676">
        <v>334618</v>
      </c>
      <c r="E676" t="s">
        <v>588</v>
      </c>
      <c r="F676" t="s">
        <v>54</v>
      </c>
      <c r="G676" t="str">
        <f t="shared" si="20"/>
        <v>Yes</v>
      </c>
      <c r="H676">
        <f t="shared" si="21"/>
        <v>70</v>
      </c>
      <c r="I676" s="1">
        <f>IF(COUNTIF('Transaction Data'!A:A,A676)&gt;5,20,0)+IF(COUNTIFS('Transaction Data'!A:A,A676,'Transaction Data'!G:G,"Yes")&gt;2,30,0)</f>
        <v>0</v>
      </c>
      <c r="J676">
        <f>'Client Master Data'!I676+'Client Master Data'!J676+H676+I676</f>
        <v>70</v>
      </c>
    </row>
    <row r="677" spans="1:10">
      <c r="A677">
        <v>1235</v>
      </c>
      <c r="B677" t="s">
        <v>1438</v>
      </c>
      <c r="C677" t="s">
        <v>743</v>
      </c>
      <c r="D677">
        <v>81461</v>
      </c>
      <c r="E677" t="s">
        <v>600</v>
      </c>
      <c r="F677" t="s">
        <v>17</v>
      </c>
      <c r="G677" t="str">
        <f t="shared" si="20"/>
        <v>Yes</v>
      </c>
      <c r="H677">
        <f t="shared" si="21"/>
        <v>40</v>
      </c>
      <c r="I677" s="1">
        <f>IF(COUNTIF('Transaction Data'!A:A,A677)&gt;5,20,0)+IF(COUNTIFS('Transaction Data'!A:A,A677,'Transaction Data'!G:G,"Yes")&gt;2,30,0)</f>
        <v>30</v>
      </c>
      <c r="J677">
        <f>'Client Master Data'!I677+'Client Master Data'!J677+H677+I677</f>
        <v>70</v>
      </c>
    </row>
    <row r="678" spans="1:10">
      <c r="A678">
        <v>1251</v>
      </c>
      <c r="B678" t="s">
        <v>1439</v>
      </c>
      <c r="C678" t="s">
        <v>1194</v>
      </c>
      <c r="D678">
        <v>294884</v>
      </c>
      <c r="E678" t="s">
        <v>588</v>
      </c>
      <c r="F678" t="s">
        <v>27</v>
      </c>
      <c r="G678" t="str">
        <f t="shared" si="20"/>
        <v>Yes</v>
      </c>
      <c r="H678">
        <f t="shared" si="21"/>
        <v>70</v>
      </c>
      <c r="I678" s="1">
        <f>IF(COUNTIF('Transaction Data'!A:A,A678)&gt;5,20,0)+IF(COUNTIFS('Transaction Data'!A:A,A678,'Transaction Data'!G:G,"Yes")&gt;2,30,0)</f>
        <v>30</v>
      </c>
      <c r="J678">
        <f>'Client Master Data'!I678+'Client Master Data'!J678+H678+I678</f>
        <v>100</v>
      </c>
    </row>
    <row r="679" spans="1:10">
      <c r="A679">
        <v>1030</v>
      </c>
      <c r="B679" t="s">
        <v>1440</v>
      </c>
      <c r="C679" t="s">
        <v>631</v>
      </c>
      <c r="D679">
        <v>374790</v>
      </c>
      <c r="E679" t="s">
        <v>593</v>
      </c>
      <c r="F679" t="s">
        <v>17</v>
      </c>
      <c r="G679" t="str">
        <f t="shared" si="20"/>
        <v>Yes</v>
      </c>
      <c r="H679">
        <f t="shared" si="21"/>
        <v>70</v>
      </c>
      <c r="I679" s="1">
        <f>IF(COUNTIF('Transaction Data'!A:A,A679)&gt;5,20,0)+IF(COUNTIFS('Transaction Data'!A:A,A679,'Transaction Data'!G:G,"Yes")&gt;2,30,0)</f>
        <v>30</v>
      </c>
      <c r="J679">
        <f>'Client Master Data'!I679+'Client Master Data'!J679+H679+I679</f>
        <v>100</v>
      </c>
    </row>
    <row r="680" spans="1:10">
      <c r="A680">
        <v>1541</v>
      </c>
      <c r="B680" t="s">
        <v>1441</v>
      </c>
      <c r="C680" t="s">
        <v>811</v>
      </c>
      <c r="D680">
        <v>207221</v>
      </c>
      <c r="E680" t="s">
        <v>593</v>
      </c>
      <c r="F680" t="s">
        <v>11</v>
      </c>
      <c r="G680" t="str">
        <f t="shared" si="20"/>
        <v>Yes</v>
      </c>
      <c r="H680">
        <f t="shared" si="21"/>
        <v>70</v>
      </c>
      <c r="I680" s="1">
        <f>IF(COUNTIF('Transaction Data'!A:A,A680)&gt;5,20,0)+IF(COUNTIFS('Transaction Data'!A:A,A680,'Transaction Data'!G:G,"Yes")&gt;2,30,0)</f>
        <v>30</v>
      </c>
      <c r="J680">
        <f>'Client Master Data'!I680+'Client Master Data'!J680+H680+I680</f>
        <v>100</v>
      </c>
    </row>
    <row r="681" spans="1:10">
      <c r="A681">
        <v>1151</v>
      </c>
      <c r="B681" t="s">
        <v>1442</v>
      </c>
      <c r="C681" t="s">
        <v>734</v>
      </c>
      <c r="D681">
        <v>67403</v>
      </c>
      <c r="E681" t="s">
        <v>593</v>
      </c>
      <c r="F681" t="s">
        <v>17</v>
      </c>
      <c r="G681" t="str">
        <f t="shared" si="20"/>
        <v>Yes</v>
      </c>
      <c r="H681">
        <f t="shared" si="21"/>
        <v>40</v>
      </c>
      <c r="I681" s="1">
        <f>IF(COUNTIF('Transaction Data'!A:A,A681)&gt;5,20,0)+IF(COUNTIFS('Transaction Data'!A:A,A681,'Transaction Data'!G:G,"Yes")&gt;2,30,0)</f>
        <v>0</v>
      </c>
      <c r="J681">
        <f>'Client Master Data'!I681+'Client Master Data'!J681+H681+I681</f>
        <v>40</v>
      </c>
    </row>
    <row r="682" spans="1:10">
      <c r="A682">
        <v>1389</v>
      </c>
      <c r="B682" t="s">
        <v>1443</v>
      </c>
      <c r="C682" t="s">
        <v>676</v>
      </c>
      <c r="D682">
        <v>236354</v>
      </c>
      <c r="E682" t="s">
        <v>588</v>
      </c>
      <c r="F682" t="s">
        <v>17</v>
      </c>
      <c r="G682" t="str">
        <f t="shared" si="20"/>
        <v>Yes</v>
      </c>
      <c r="H682">
        <f t="shared" si="21"/>
        <v>70</v>
      </c>
      <c r="I682" s="1">
        <f>IF(COUNTIF('Transaction Data'!A:A,A682)&gt;5,20,0)+IF(COUNTIFS('Transaction Data'!A:A,A682,'Transaction Data'!G:G,"Yes")&gt;2,30,0)</f>
        <v>0</v>
      </c>
      <c r="J682">
        <f>'Client Master Data'!I682+'Client Master Data'!J682+H682+I682</f>
        <v>70</v>
      </c>
    </row>
    <row r="683" spans="1:10">
      <c r="A683">
        <v>1437</v>
      </c>
      <c r="B683" t="s">
        <v>1444</v>
      </c>
      <c r="C683" t="s">
        <v>1445</v>
      </c>
      <c r="D683">
        <v>336843</v>
      </c>
      <c r="E683" t="s">
        <v>588</v>
      </c>
      <c r="F683" t="s">
        <v>23</v>
      </c>
      <c r="G683" t="str">
        <f t="shared" si="20"/>
        <v>Yes</v>
      </c>
      <c r="H683">
        <f t="shared" si="21"/>
        <v>70</v>
      </c>
      <c r="I683" s="1">
        <f>IF(COUNTIF('Transaction Data'!A:A,A683)&gt;5,20,0)+IF(COUNTIFS('Transaction Data'!A:A,A683,'Transaction Data'!G:G,"Yes")&gt;2,30,0)</f>
        <v>0</v>
      </c>
      <c r="J683">
        <f>'Client Master Data'!I683+'Client Master Data'!J683+H683+I683</f>
        <v>70</v>
      </c>
    </row>
    <row r="684" spans="1:10">
      <c r="A684">
        <v>1495</v>
      </c>
      <c r="B684" t="s">
        <v>1446</v>
      </c>
      <c r="C684" t="s">
        <v>616</v>
      </c>
      <c r="D684">
        <v>11878</v>
      </c>
      <c r="E684" t="s">
        <v>600</v>
      </c>
      <c r="F684" t="s">
        <v>23</v>
      </c>
      <c r="G684" t="str">
        <f t="shared" si="20"/>
        <v>No</v>
      </c>
      <c r="H684">
        <f t="shared" si="21"/>
        <v>0</v>
      </c>
      <c r="I684" s="1">
        <f>IF(COUNTIF('Transaction Data'!A:A,A684)&gt;5,20,0)+IF(COUNTIFS('Transaction Data'!A:A,A684,'Transaction Data'!G:G,"Yes")&gt;2,30,0)</f>
        <v>30</v>
      </c>
      <c r="J684">
        <f>'Client Master Data'!I684+'Client Master Data'!J684+H684+I684</f>
        <v>30</v>
      </c>
    </row>
    <row r="685" spans="1:10">
      <c r="A685">
        <v>1357</v>
      </c>
      <c r="B685" t="s">
        <v>1447</v>
      </c>
      <c r="C685" t="s">
        <v>1031</v>
      </c>
      <c r="D685">
        <v>134920</v>
      </c>
      <c r="E685" t="s">
        <v>593</v>
      </c>
      <c r="F685" t="s">
        <v>17</v>
      </c>
      <c r="G685" t="str">
        <f t="shared" si="20"/>
        <v>Yes</v>
      </c>
      <c r="H685">
        <f t="shared" si="21"/>
        <v>70</v>
      </c>
      <c r="I685" s="1">
        <f>IF(COUNTIF('Transaction Data'!A:A,A685)&gt;5,20,0)+IF(COUNTIFS('Transaction Data'!A:A,A685,'Transaction Data'!G:G,"Yes")&gt;2,30,0)</f>
        <v>30</v>
      </c>
      <c r="J685">
        <f>'Client Master Data'!I685+'Client Master Data'!J685+H685+I685</f>
        <v>100</v>
      </c>
    </row>
    <row r="686" spans="1:10">
      <c r="A686">
        <v>1497</v>
      </c>
      <c r="B686" t="s">
        <v>1448</v>
      </c>
      <c r="C686" t="s">
        <v>612</v>
      </c>
      <c r="D686">
        <v>55601</v>
      </c>
      <c r="E686" t="s">
        <v>593</v>
      </c>
      <c r="F686" t="s">
        <v>39</v>
      </c>
      <c r="G686" t="str">
        <f t="shared" si="20"/>
        <v>No</v>
      </c>
      <c r="H686">
        <f t="shared" si="21"/>
        <v>0</v>
      </c>
      <c r="I686" s="1">
        <f>IF(COUNTIF('Transaction Data'!A:A,A686)&gt;5,20,0)+IF(COUNTIFS('Transaction Data'!A:A,A686,'Transaction Data'!G:G,"Yes")&gt;2,30,0)</f>
        <v>30</v>
      </c>
      <c r="J686">
        <f>'Client Master Data'!I686+'Client Master Data'!J686+H686+I686</f>
        <v>30</v>
      </c>
    </row>
    <row r="687" spans="1:10">
      <c r="A687">
        <v>1236</v>
      </c>
      <c r="B687" t="s">
        <v>1449</v>
      </c>
      <c r="C687" t="s">
        <v>612</v>
      </c>
      <c r="D687">
        <v>95870</v>
      </c>
      <c r="E687" t="s">
        <v>593</v>
      </c>
      <c r="F687" t="s">
        <v>23</v>
      </c>
      <c r="G687" t="str">
        <f t="shared" si="20"/>
        <v>No</v>
      </c>
      <c r="H687">
        <f t="shared" si="21"/>
        <v>0</v>
      </c>
      <c r="I687" s="1">
        <f>IF(COUNTIF('Transaction Data'!A:A,A687)&gt;5,20,0)+IF(COUNTIFS('Transaction Data'!A:A,A687,'Transaction Data'!G:G,"Yes")&gt;2,30,0)</f>
        <v>0</v>
      </c>
      <c r="J687">
        <f>'Client Master Data'!I687+'Client Master Data'!J687+H687+I687</f>
        <v>0</v>
      </c>
    </row>
    <row r="688" spans="1:10">
      <c r="A688">
        <v>1445</v>
      </c>
      <c r="B688" t="s">
        <v>1450</v>
      </c>
      <c r="C688" t="s">
        <v>646</v>
      </c>
      <c r="D688">
        <v>281857</v>
      </c>
      <c r="E688" t="s">
        <v>593</v>
      </c>
      <c r="F688" t="s">
        <v>17</v>
      </c>
      <c r="G688" t="str">
        <f t="shared" si="20"/>
        <v>Yes</v>
      </c>
      <c r="H688">
        <f t="shared" si="21"/>
        <v>70</v>
      </c>
      <c r="I688" s="1">
        <f>IF(COUNTIF('Transaction Data'!A:A,A688)&gt;5,20,0)+IF(COUNTIFS('Transaction Data'!A:A,A688,'Transaction Data'!G:G,"Yes")&gt;2,30,0)</f>
        <v>30</v>
      </c>
      <c r="J688">
        <f>'Client Master Data'!I688+'Client Master Data'!J688+H688+I688</f>
        <v>100</v>
      </c>
    </row>
    <row r="689" spans="1:10">
      <c r="A689">
        <v>1098</v>
      </c>
      <c r="B689" t="s">
        <v>1451</v>
      </c>
      <c r="C689" t="s">
        <v>870</v>
      </c>
      <c r="D689">
        <v>228358</v>
      </c>
      <c r="E689" t="s">
        <v>588</v>
      </c>
      <c r="F689" t="s">
        <v>39</v>
      </c>
      <c r="G689" t="str">
        <f t="shared" si="20"/>
        <v>Yes</v>
      </c>
      <c r="H689">
        <f t="shared" si="21"/>
        <v>70</v>
      </c>
      <c r="I689" s="1">
        <f>IF(COUNTIF('Transaction Data'!A:A,A689)&gt;5,20,0)+IF(COUNTIFS('Transaction Data'!A:A,A689,'Transaction Data'!G:G,"Yes")&gt;2,30,0)</f>
        <v>30</v>
      </c>
      <c r="J689">
        <f>'Client Master Data'!I689+'Client Master Data'!J689+H689+I689</f>
        <v>100</v>
      </c>
    </row>
    <row r="690" spans="1:10">
      <c r="A690">
        <v>1445</v>
      </c>
      <c r="B690" t="s">
        <v>1452</v>
      </c>
      <c r="C690" t="s">
        <v>694</v>
      </c>
      <c r="D690">
        <v>32256</v>
      </c>
      <c r="E690" t="s">
        <v>593</v>
      </c>
      <c r="F690" t="s">
        <v>54</v>
      </c>
      <c r="G690" t="str">
        <f t="shared" si="20"/>
        <v>Yes</v>
      </c>
      <c r="H690">
        <f t="shared" si="21"/>
        <v>40</v>
      </c>
      <c r="I690" s="1">
        <f>IF(COUNTIF('Transaction Data'!A:A,A690)&gt;5,20,0)+IF(COUNTIFS('Transaction Data'!A:A,A690,'Transaction Data'!G:G,"Yes")&gt;2,30,0)</f>
        <v>30</v>
      </c>
      <c r="J690">
        <f>'Client Master Data'!I690+'Client Master Data'!J690+H690+I690</f>
        <v>70</v>
      </c>
    </row>
    <row r="691" spans="1:10">
      <c r="A691">
        <v>1543</v>
      </c>
      <c r="B691" t="s">
        <v>1453</v>
      </c>
      <c r="C691" t="s">
        <v>767</v>
      </c>
      <c r="D691">
        <v>480513</v>
      </c>
      <c r="E691" t="s">
        <v>588</v>
      </c>
      <c r="F691" t="s">
        <v>39</v>
      </c>
      <c r="G691" t="str">
        <f t="shared" si="20"/>
        <v>Yes</v>
      </c>
      <c r="H691">
        <f t="shared" si="21"/>
        <v>70</v>
      </c>
      <c r="I691" s="1">
        <f>IF(COUNTIF('Transaction Data'!A:A,A691)&gt;5,20,0)+IF(COUNTIFS('Transaction Data'!A:A,A691,'Transaction Data'!G:G,"Yes")&gt;2,30,0)</f>
        <v>30</v>
      </c>
      <c r="J691">
        <f>'Client Master Data'!I691+'Client Master Data'!J691+H691+I691</f>
        <v>100</v>
      </c>
    </row>
    <row r="692" spans="1:10">
      <c r="A692">
        <v>1295</v>
      </c>
      <c r="B692" t="s">
        <v>1454</v>
      </c>
      <c r="C692" t="s">
        <v>775</v>
      </c>
      <c r="D692">
        <v>40779</v>
      </c>
      <c r="E692" t="s">
        <v>600</v>
      </c>
      <c r="F692" t="s">
        <v>54</v>
      </c>
      <c r="G692" t="str">
        <f t="shared" si="20"/>
        <v>Yes</v>
      </c>
      <c r="H692">
        <f t="shared" si="21"/>
        <v>40</v>
      </c>
      <c r="I692" s="1">
        <f>IF(COUNTIF('Transaction Data'!A:A,A692)&gt;5,20,0)+IF(COUNTIFS('Transaction Data'!A:A,A692,'Transaction Data'!G:G,"Yes")&gt;2,30,0)</f>
        <v>30</v>
      </c>
      <c r="J692">
        <f>'Client Master Data'!I692+'Client Master Data'!J692+H692+I692</f>
        <v>70</v>
      </c>
    </row>
    <row r="693" spans="1:10">
      <c r="A693">
        <v>1443</v>
      </c>
      <c r="B693" t="s">
        <v>1455</v>
      </c>
      <c r="C693" t="s">
        <v>1022</v>
      </c>
      <c r="D693">
        <v>3549</v>
      </c>
      <c r="E693" t="s">
        <v>593</v>
      </c>
      <c r="F693" t="s">
        <v>27</v>
      </c>
      <c r="G693" t="str">
        <f t="shared" si="20"/>
        <v>No</v>
      </c>
      <c r="H693">
        <f t="shared" si="21"/>
        <v>0</v>
      </c>
      <c r="I693" s="1">
        <f>IF(COUNTIF('Transaction Data'!A:A,A693)&gt;5,20,0)+IF(COUNTIFS('Transaction Data'!A:A,A693,'Transaction Data'!G:G,"Yes")&gt;2,30,0)</f>
        <v>0</v>
      </c>
      <c r="J693">
        <f>'Client Master Data'!I693+'Client Master Data'!J693+H693+I693</f>
        <v>0</v>
      </c>
    </row>
    <row r="694" spans="1:10">
      <c r="A694">
        <v>1437</v>
      </c>
      <c r="B694" t="s">
        <v>1456</v>
      </c>
      <c r="C694" t="s">
        <v>734</v>
      </c>
      <c r="D694">
        <v>53416</v>
      </c>
      <c r="E694" t="s">
        <v>600</v>
      </c>
      <c r="F694" t="s">
        <v>17</v>
      </c>
      <c r="G694" t="str">
        <f t="shared" si="20"/>
        <v>Yes</v>
      </c>
      <c r="H694">
        <f t="shared" si="21"/>
        <v>40</v>
      </c>
      <c r="I694" s="1">
        <f>IF(COUNTIF('Transaction Data'!A:A,A694)&gt;5,20,0)+IF(COUNTIFS('Transaction Data'!A:A,A694,'Transaction Data'!G:G,"Yes")&gt;2,30,0)</f>
        <v>0</v>
      </c>
      <c r="J694">
        <f>'Client Master Data'!I694+'Client Master Data'!J694+H694+I694</f>
        <v>40</v>
      </c>
    </row>
    <row r="695" spans="1:10">
      <c r="A695">
        <v>1264</v>
      </c>
      <c r="B695" t="s">
        <v>1457</v>
      </c>
      <c r="C695" t="s">
        <v>773</v>
      </c>
      <c r="D695">
        <v>464027</v>
      </c>
      <c r="E695" t="s">
        <v>588</v>
      </c>
      <c r="F695" t="s">
        <v>39</v>
      </c>
      <c r="G695" t="str">
        <f t="shared" si="20"/>
        <v>Yes</v>
      </c>
      <c r="H695">
        <f t="shared" si="21"/>
        <v>70</v>
      </c>
      <c r="I695" s="1">
        <f>IF(COUNTIF('Transaction Data'!A:A,A695)&gt;5,20,0)+IF(COUNTIFS('Transaction Data'!A:A,A695,'Transaction Data'!G:G,"Yes")&gt;2,30,0)</f>
        <v>30</v>
      </c>
      <c r="J695">
        <f>'Client Master Data'!I695+'Client Master Data'!J695+H695+I695</f>
        <v>100</v>
      </c>
    </row>
    <row r="696" spans="1:10">
      <c r="A696">
        <v>1060</v>
      </c>
      <c r="B696" t="s">
        <v>1458</v>
      </c>
      <c r="C696" t="s">
        <v>648</v>
      </c>
      <c r="D696">
        <v>168443</v>
      </c>
      <c r="E696" t="s">
        <v>593</v>
      </c>
      <c r="F696" t="s">
        <v>11</v>
      </c>
      <c r="G696" t="str">
        <f t="shared" si="20"/>
        <v>Yes</v>
      </c>
      <c r="H696">
        <f t="shared" si="21"/>
        <v>70</v>
      </c>
      <c r="I696" s="1">
        <f>IF(COUNTIF('Transaction Data'!A:A,A696)&gt;5,20,0)+IF(COUNTIFS('Transaction Data'!A:A,A696,'Transaction Data'!G:G,"Yes")&gt;2,30,0)</f>
        <v>0</v>
      </c>
      <c r="J696">
        <f>'Client Master Data'!I696+'Client Master Data'!J696+H696+I696</f>
        <v>70</v>
      </c>
    </row>
    <row r="697" spans="1:10">
      <c r="A697">
        <v>1332</v>
      </c>
      <c r="B697" t="s">
        <v>1459</v>
      </c>
      <c r="C697" t="s">
        <v>868</v>
      </c>
      <c r="D697">
        <v>416421</v>
      </c>
      <c r="E697" t="s">
        <v>600</v>
      </c>
      <c r="F697" t="s">
        <v>39</v>
      </c>
      <c r="G697" t="str">
        <f t="shared" si="20"/>
        <v>Yes</v>
      </c>
      <c r="H697">
        <f t="shared" si="21"/>
        <v>70</v>
      </c>
      <c r="I697" s="1">
        <f>IF(COUNTIF('Transaction Data'!A:A,A697)&gt;5,20,0)+IF(COUNTIFS('Transaction Data'!A:A,A697,'Transaction Data'!G:G,"Yes")&gt;2,30,0)</f>
        <v>0</v>
      </c>
      <c r="J697">
        <f>'Client Master Data'!I697+'Client Master Data'!J697+H697+I697</f>
        <v>70</v>
      </c>
    </row>
    <row r="698" spans="1:10">
      <c r="A698">
        <v>1128</v>
      </c>
      <c r="B698" t="s">
        <v>1460</v>
      </c>
      <c r="C698" t="s">
        <v>731</v>
      </c>
      <c r="D698">
        <v>339194</v>
      </c>
      <c r="E698" t="s">
        <v>593</v>
      </c>
      <c r="F698" t="s">
        <v>11</v>
      </c>
      <c r="G698" t="str">
        <f t="shared" si="20"/>
        <v>Yes</v>
      </c>
      <c r="H698">
        <f t="shared" si="21"/>
        <v>70</v>
      </c>
      <c r="I698" s="1">
        <f>IF(COUNTIF('Transaction Data'!A:A,A698)&gt;5,20,0)+IF(COUNTIFS('Transaction Data'!A:A,A698,'Transaction Data'!G:G,"Yes")&gt;2,30,0)</f>
        <v>0</v>
      </c>
      <c r="J698">
        <f>'Client Master Data'!I698+'Client Master Data'!J698+H698+I698</f>
        <v>70</v>
      </c>
    </row>
    <row r="699" spans="1:10">
      <c r="A699">
        <v>1330</v>
      </c>
      <c r="B699" t="s">
        <v>1461</v>
      </c>
      <c r="C699" t="s">
        <v>826</v>
      </c>
      <c r="D699">
        <v>368853</v>
      </c>
      <c r="E699" t="s">
        <v>600</v>
      </c>
      <c r="F699" t="s">
        <v>23</v>
      </c>
      <c r="G699" t="str">
        <f t="shared" si="20"/>
        <v>Yes</v>
      </c>
      <c r="H699">
        <f t="shared" si="21"/>
        <v>70</v>
      </c>
      <c r="I699" s="1">
        <f>IF(COUNTIF('Transaction Data'!A:A,A699)&gt;5,20,0)+IF(COUNTIFS('Transaction Data'!A:A,A699,'Transaction Data'!G:G,"Yes")&gt;2,30,0)</f>
        <v>0</v>
      </c>
      <c r="J699">
        <f>'Client Master Data'!I699+'Client Master Data'!J699+H699+I699</f>
        <v>70</v>
      </c>
    </row>
    <row r="700" spans="1:10">
      <c r="A700">
        <v>1454</v>
      </c>
      <c r="B700" t="s">
        <v>1462</v>
      </c>
      <c r="C700" t="s">
        <v>612</v>
      </c>
      <c r="D700">
        <v>137214</v>
      </c>
      <c r="E700" t="s">
        <v>600</v>
      </c>
      <c r="F700" t="s">
        <v>11</v>
      </c>
      <c r="G700" t="str">
        <f t="shared" si="20"/>
        <v>Yes</v>
      </c>
      <c r="H700">
        <f t="shared" si="21"/>
        <v>70</v>
      </c>
      <c r="I700" s="1">
        <f>IF(COUNTIF('Transaction Data'!A:A,A700)&gt;5,20,0)+IF(COUNTIFS('Transaction Data'!A:A,A700,'Transaction Data'!G:G,"Yes")&gt;2,30,0)</f>
        <v>30</v>
      </c>
      <c r="J700">
        <f>'Client Master Data'!I700+'Client Master Data'!J700+H700+I700</f>
        <v>100</v>
      </c>
    </row>
    <row r="701" spans="1:10">
      <c r="A701">
        <v>1500</v>
      </c>
      <c r="B701" t="s">
        <v>1463</v>
      </c>
      <c r="C701" t="s">
        <v>673</v>
      </c>
      <c r="D701">
        <v>441460</v>
      </c>
      <c r="E701" t="s">
        <v>588</v>
      </c>
      <c r="F701" t="s">
        <v>11</v>
      </c>
      <c r="G701" t="str">
        <f t="shared" si="20"/>
        <v>Yes</v>
      </c>
      <c r="H701">
        <f t="shared" si="21"/>
        <v>70</v>
      </c>
      <c r="I701" s="1">
        <f>IF(COUNTIF('Transaction Data'!A:A,A701)&gt;5,20,0)+IF(COUNTIFS('Transaction Data'!A:A,A701,'Transaction Data'!G:G,"Yes")&gt;2,30,0)</f>
        <v>30</v>
      </c>
      <c r="J701">
        <f>'Client Master Data'!I701+'Client Master Data'!J701+H701+I701</f>
        <v>100</v>
      </c>
    </row>
    <row r="702" spans="1:10">
      <c r="A702">
        <v>1074</v>
      </c>
      <c r="B702" t="s">
        <v>1464</v>
      </c>
      <c r="C702" t="s">
        <v>648</v>
      </c>
      <c r="D702">
        <v>225031</v>
      </c>
      <c r="E702" t="s">
        <v>600</v>
      </c>
      <c r="F702" t="s">
        <v>23</v>
      </c>
      <c r="G702" t="str">
        <f t="shared" si="20"/>
        <v>Yes</v>
      </c>
      <c r="H702">
        <f t="shared" si="21"/>
        <v>70</v>
      </c>
      <c r="I702" s="1">
        <f>IF(COUNTIF('Transaction Data'!A:A,A702)&gt;5,20,0)+IF(COUNTIFS('Transaction Data'!A:A,A702,'Transaction Data'!G:G,"Yes")&gt;2,30,0)</f>
        <v>0</v>
      </c>
      <c r="J702">
        <f>'Client Master Data'!I702+'Client Master Data'!J702+H702+I702</f>
        <v>70</v>
      </c>
    </row>
    <row r="703" spans="1:10">
      <c r="A703">
        <v>1507</v>
      </c>
      <c r="B703" t="s">
        <v>1465</v>
      </c>
      <c r="C703" t="s">
        <v>1006</v>
      </c>
      <c r="D703">
        <v>373264</v>
      </c>
      <c r="E703" t="s">
        <v>588</v>
      </c>
      <c r="F703" t="s">
        <v>23</v>
      </c>
      <c r="G703" t="str">
        <f t="shared" si="20"/>
        <v>Yes</v>
      </c>
      <c r="H703">
        <f t="shared" si="21"/>
        <v>70</v>
      </c>
      <c r="I703" s="1">
        <f>IF(COUNTIF('Transaction Data'!A:A,A703)&gt;5,20,0)+IF(COUNTIFS('Transaction Data'!A:A,A703,'Transaction Data'!G:G,"Yes")&gt;2,30,0)</f>
        <v>30</v>
      </c>
      <c r="J703">
        <f>'Client Master Data'!I703+'Client Master Data'!J703+H703+I703</f>
        <v>100</v>
      </c>
    </row>
    <row r="704" spans="1:10">
      <c r="A704">
        <v>1001</v>
      </c>
      <c r="B704" t="s">
        <v>1466</v>
      </c>
      <c r="C704" t="s">
        <v>1467</v>
      </c>
      <c r="D704">
        <v>358350</v>
      </c>
      <c r="E704" t="s">
        <v>600</v>
      </c>
      <c r="F704" t="s">
        <v>23</v>
      </c>
      <c r="G704" t="str">
        <f t="shared" si="20"/>
        <v>Yes</v>
      </c>
      <c r="H704">
        <f t="shared" si="21"/>
        <v>70</v>
      </c>
      <c r="I704" s="1">
        <f>IF(COUNTIF('Transaction Data'!A:A,A704)&gt;5,20,0)+IF(COUNTIFS('Transaction Data'!A:A,A704,'Transaction Data'!G:G,"Yes")&gt;2,30,0)</f>
        <v>0</v>
      </c>
      <c r="J704">
        <f>'Client Master Data'!I704+'Client Master Data'!J704+H704+I704</f>
        <v>70</v>
      </c>
    </row>
    <row r="705" spans="1:10">
      <c r="A705">
        <v>1248</v>
      </c>
      <c r="B705" t="s">
        <v>1468</v>
      </c>
      <c r="C705" t="s">
        <v>769</v>
      </c>
      <c r="D705">
        <v>311313</v>
      </c>
      <c r="E705" t="s">
        <v>588</v>
      </c>
      <c r="F705" t="s">
        <v>23</v>
      </c>
      <c r="G705" t="str">
        <f t="shared" si="20"/>
        <v>Yes</v>
      </c>
      <c r="H705">
        <f t="shared" si="21"/>
        <v>70</v>
      </c>
      <c r="I705" s="1">
        <f>IF(COUNTIF('Transaction Data'!A:A,A705)&gt;5,20,0)+IF(COUNTIFS('Transaction Data'!A:A,A705,'Transaction Data'!G:G,"Yes")&gt;2,30,0)</f>
        <v>0</v>
      </c>
      <c r="J705">
        <f>'Client Master Data'!I705+'Client Master Data'!J705+H705+I705</f>
        <v>70</v>
      </c>
    </row>
    <row r="706" spans="1:10">
      <c r="A706">
        <v>1120</v>
      </c>
      <c r="B706" t="s">
        <v>1469</v>
      </c>
      <c r="C706" t="s">
        <v>953</v>
      </c>
      <c r="D706">
        <v>115938</v>
      </c>
      <c r="E706" t="s">
        <v>600</v>
      </c>
      <c r="F706" t="s">
        <v>54</v>
      </c>
      <c r="G706" t="str">
        <f t="shared" ref="G706:G769" si="22">IF(OR(D706&gt;100000,F706="UAE",F706="Nigeria"),"Yes","No")</f>
        <v>Yes</v>
      </c>
      <c r="H706">
        <f t="shared" si="21"/>
        <v>70</v>
      </c>
      <c r="I706" s="1">
        <f>IF(COUNTIF('Transaction Data'!A:A,A706)&gt;5,20,0)+IF(COUNTIFS('Transaction Data'!A:A,A706,'Transaction Data'!G:G,"Yes")&gt;2,30,0)</f>
        <v>30</v>
      </c>
      <c r="J706">
        <f>'Client Master Data'!I706+'Client Master Data'!J706+H706+I706</f>
        <v>100</v>
      </c>
    </row>
    <row r="707" spans="1:10">
      <c r="A707">
        <v>1471</v>
      </c>
      <c r="B707" t="s">
        <v>1470</v>
      </c>
      <c r="C707" t="s">
        <v>648</v>
      </c>
      <c r="D707">
        <v>17364</v>
      </c>
      <c r="E707" t="s">
        <v>600</v>
      </c>
      <c r="F707" t="s">
        <v>39</v>
      </c>
      <c r="G707" t="str">
        <f t="shared" si="22"/>
        <v>No</v>
      </c>
      <c r="H707">
        <f t="shared" ref="H707:H770" si="23">IF(D707&gt;100000,30,0)+IF(TRIM(LOWER(G707))="yes",40,0)</f>
        <v>0</v>
      </c>
      <c r="I707" s="1">
        <f>IF(COUNTIF('Transaction Data'!A:A,A707)&gt;5,20,0)+IF(COUNTIFS('Transaction Data'!A:A,A707,'Transaction Data'!G:G,"Yes")&gt;2,30,0)</f>
        <v>0</v>
      </c>
      <c r="J707">
        <f>'Client Master Data'!I707+'Client Master Data'!J707+H707+I707</f>
        <v>0</v>
      </c>
    </row>
    <row r="708" spans="1:10">
      <c r="A708">
        <v>1345</v>
      </c>
      <c r="B708" t="s">
        <v>1471</v>
      </c>
      <c r="C708" t="s">
        <v>642</v>
      </c>
      <c r="D708">
        <v>1957</v>
      </c>
      <c r="E708" t="s">
        <v>600</v>
      </c>
      <c r="F708" t="s">
        <v>39</v>
      </c>
      <c r="G708" t="str">
        <f t="shared" si="22"/>
        <v>No</v>
      </c>
      <c r="H708">
        <f t="shared" si="23"/>
        <v>0</v>
      </c>
      <c r="I708" s="1">
        <f>IF(COUNTIF('Transaction Data'!A:A,A708)&gt;5,20,0)+IF(COUNTIFS('Transaction Data'!A:A,A708,'Transaction Data'!G:G,"Yes")&gt;2,30,0)</f>
        <v>0</v>
      </c>
      <c r="J708">
        <f>'Client Master Data'!I708+'Client Master Data'!J708+H708+I708</f>
        <v>0</v>
      </c>
    </row>
    <row r="709" spans="1:10">
      <c r="A709">
        <v>1357</v>
      </c>
      <c r="B709" t="s">
        <v>1472</v>
      </c>
      <c r="C709" t="s">
        <v>694</v>
      </c>
      <c r="D709">
        <v>390338</v>
      </c>
      <c r="E709" t="s">
        <v>588</v>
      </c>
      <c r="F709" t="s">
        <v>27</v>
      </c>
      <c r="G709" t="str">
        <f t="shared" si="22"/>
        <v>Yes</v>
      </c>
      <c r="H709">
        <f t="shared" si="23"/>
        <v>70</v>
      </c>
      <c r="I709" s="1">
        <f>IF(COUNTIF('Transaction Data'!A:A,A709)&gt;5,20,0)+IF(COUNTIFS('Transaction Data'!A:A,A709,'Transaction Data'!G:G,"Yes")&gt;2,30,0)</f>
        <v>30</v>
      </c>
      <c r="J709">
        <f>'Client Master Data'!I709+'Client Master Data'!J709+H709+I709</f>
        <v>100</v>
      </c>
    </row>
    <row r="710" spans="1:10">
      <c r="A710">
        <v>1336</v>
      </c>
      <c r="B710" t="s">
        <v>1473</v>
      </c>
      <c r="C710" t="s">
        <v>713</v>
      </c>
      <c r="D710">
        <v>332250</v>
      </c>
      <c r="E710" t="s">
        <v>600</v>
      </c>
      <c r="F710" t="s">
        <v>11</v>
      </c>
      <c r="G710" t="str">
        <f t="shared" si="22"/>
        <v>Yes</v>
      </c>
      <c r="H710">
        <f t="shared" si="23"/>
        <v>70</v>
      </c>
      <c r="I710" s="1">
        <f>IF(COUNTIF('Transaction Data'!A:A,A710)&gt;5,20,0)+IF(COUNTIFS('Transaction Data'!A:A,A710,'Transaction Data'!G:G,"Yes")&gt;2,30,0)</f>
        <v>30</v>
      </c>
      <c r="J710">
        <f>'Client Master Data'!I710+'Client Master Data'!J710+H710+I710</f>
        <v>100</v>
      </c>
    </row>
    <row r="711" spans="1:10">
      <c r="A711">
        <v>1010</v>
      </c>
      <c r="B711" t="s">
        <v>1474</v>
      </c>
      <c r="C711" t="s">
        <v>902</v>
      </c>
      <c r="D711">
        <v>174467</v>
      </c>
      <c r="E711" t="s">
        <v>600</v>
      </c>
      <c r="F711" t="s">
        <v>27</v>
      </c>
      <c r="G711" t="str">
        <f t="shared" si="22"/>
        <v>Yes</v>
      </c>
      <c r="H711">
        <f t="shared" si="23"/>
        <v>70</v>
      </c>
      <c r="I711" s="1">
        <f>IF(COUNTIF('Transaction Data'!A:A,A711)&gt;5,20,0)+IF(COUNTIFS('Transaction Data'!A:A,A711,'Transaction Data'!G:G,"Yes")&gt;2,30,0)</f>
        <v>0</v>
      </c>
      <c r="J711">
        <f>'Client Master Data'!I711+'Client Master Data'!J711+H711+I711</f>
        <v>70</v>
      </c>
    </row>
    <row r="712" spans="1:10">
      <c r="A712">
        <v>1265</v>
      </c>
      <c r="B712" t="s">
        <v>1475</v>
      </c>
      <c r="C712" t="s">
        <v>1476</v>
      </c>
      <c r="D712">
        <v>312306</v>
      </c>
      <c r="E712" t="s">
        <v>588</v>
      </c>
      <c r="F712" t="s">
        <v>39</v>
      </c>
      <c r="G712" t="str">
        <f t="shared" si="22"/>
        <v>Yes</v>
      </c>
      <c r="H712">
        <f t="shared" si="23"/>
        <v>70</v>
      </c>
      <c r="I712" s="1">
        <f>IF(COUNTIF('Transaction Data'!A:A,A712)&gt;5,20,0)+IF(COUNTIFS('Transaction Data'!A:A,A712,'Transaction Data'!G:G,"Yes")&gt;2,30,0)</f>
        <v>30</v>
      </c>
      <c r="J712">
        <f>'Client Master Data'!I712+'Client Master Data'!J712+H712+I712</f>
        <v>100</v>
      </c>
    </row>
    <row r="713" spans="1:10">
      <c r="A713">
        <v>1043</v>
      </c>
      <c r="B713" t="s">
        <v>1477</v>
      </c>
      <c r="C713" t="s">
        <v>876</v>
      </c>
      <c r="D713">
        <v>429867</v>
      </c>
      <c r="E713" t="s">
        <v>588</v>
      </c>
      <c r="F713" t="s">
        <v>23</v>
      </c>
      <c r="G713" t="str">
        <f t="shared" si="22"/>
        <v>Yes</v>
      </c>
      <c r="H713">
        <f t="shared" si="23"/>
        <v>70</v>
      </c>
      <c r="I713" s="1">
        <f>IF(COUNTIF('Transaction Data'!A:A,A713)&gt;5,20,0)+IF(COUNTIFS('Transaction Data'!A:A,A713,'Transaction Data'!G:G,"Yes")&gt;2,30,0)</f>
        <v>30</v>
      </c>
      <c r="J713">
        <f>'Client Master Data'!I713+'Client Master Data'!J713+H713+I713</f>
        <v>100</v>
      </c>
    </row>
    <row r="714" spans="1:10">
      <c r="A714">
        <v>1210</v>
      </c>
      <c r="B714" t="s">
        <v>1478</v>
      </c>
      <c r="C714" t="s">
        <v>599</v>
      </c>
      <c r="D714">
        <v>185534</v>
      </c>
      <c r="E714" t="s">
        <v>593</v>
      </c>
      <c r="F714" t="s">
        <v>11</v>
      </c>
      <c r="G714" t="str">
        <f t="shared" si="22"/>
        <v>Yes</v>
      </c>
      <c r="H714">
        <f t="shared" si="23"/>
        <v>70</v>
      </c>
      <c r="I714" s="1">
        <f>IF(COUNTIF('Transaction Data'!A:A,A714)&gt;5,20,0)+IF(COUNTIFS('Transaction Data'!A:A,A714,'Transaction Data'!G:G,"Yes")&gt;2,30,0)</f>
        <v>0</v>
      </c>
      <c r="J714">
        <f>'Client Master Data'!I714+'Client Master Data'!J714+H714+I714</f>
        <v>70</v>
      </c>
    </row>
    <row r="715" spans="1:10">
      <c r="A715">
        <v>1013</v>
      </c>
      <c r="B715" t="s">
        <v>1479</v>
      </c>
      <c r="C715" t="s">
        <v>789</v>
      </c>
      <c r="D715">
        <v>451735</v>
      </c>
      <c r="E715" t="s">
        <v>593</v>
      </c>
      <c r="F715" t="s">
        <v>17</v>
      </c>
      <c r="G715" t="str">
        <f t="shared" si="22"/>
        <v>Yes</v>
      </c>
      <c r="H715">
        <f t="shared" si="23"/>
        <v>70</v>
      </c>
      <c r="I715" s="1">
        <f>IF(COUNTIF('Transaction Data'!A:A,A715)&gt;5,20,0)+IF(COUNTIFS('Transaction Data'!A:A,A715,'Transaction Data'!G:G,"Yes")&gt;2,30,0)</f>
        <v>0</v>
      </c>
      <c r="J715">
        <f>'Client Master Data'!I715+'Client Master Data'!J715+H715+I715</f>
        <v>70</v>
      </c>
    </row>
    <row r="716" spans="1:10">
      <c r="A716">
        <v>1145</v>
      </c>
      <c r="B716" t="s">
        <v>1480</v>
      </c>
      <c r="C716" t="s">
        <v>1242</v>
      </c>
      <c r="D716">
        <v>393293</v>
      </c>
      <c r="E716" t="s">
        <v>593</v>
      </c>
      <c r="F716" t="s">
        <v>54</v>
      </c>
      <c r="G716" t="str">
        <f t="shared" si="22"/>
        <v>Yes</v>
      </c>
      <c r="H716">
        <f t="shared" si="23"/>
        <v>70</v>
      </c>
      <c r="I716" s="1">
        <f>IF(COUNTIF('Transaction Data'!A:A,A716)&gt;5,20,0)+IF(COUNTIFS('Transaction Data'!A:A,A716,'Transaction Data'!G:G,"Yes")&gt;2,30,0)</f>
        <v>30</v>
      </c>
      <c r="J716">
        <f>'Client Master Data'!I716+'Client Master Data'!J716+H716+I716</f>
        <v>100</v>
      </c>
    </row>
    <row r="717" spans="1:10">
      <c r="A717">
        <v>1061</v>
      </c>
      <c r="B717" t="s">
        <v>1481</v>
      </c>
      <c r="C717" t="s">
        <v>927</v>
      </c>
      <c r="D717">
        <v>274430</v>
      </c>
      <c r="E717" t="s">
        <v>588</v>
      </c>
      <c r="F717" t="s">
        <v>39</v>
      </c>
      <c r="G717" t="str">
        <f t="shared" si="22"/>
        <v>Yes</v>
      </c>
      <c r="H717">
        <f t="shared" si="23"/>
        <v>70</v>
      </c>
      <c r="I717" s="1">
        <f>IF(COUNTIF('Transaction Data'!A:A,A717)&gt;5,20,0)+IF(COUNTIFS('Transaction Data'!A:A,A717,'Transaction Data'!G:G,"Yes")&gt;2,30,0)</f>
        <v>30</v>
      </c>
      <c r="J717">
        <f>'Client Master Data'!I717+'Client Master Data'!J717+H717+I717</f>
        <v>100</v>
      </c>
    </row>
    <row r="718" spans="1:10">
      <c r="A718">
        <v>1295</v>
      </c>
      <c r="B718" t="s">
        <v>1482</v>
      </c>
      <c r="C718" t="s">
        <v>729</v>
      </c>
      <c r="D718">
        <v>14635</v>
      </c>
      <c r="E718" t="s">
        <v>600</v>
      </c>
      <c r="F718" t="s">
        <v>27</v>
      </c>
      <c r="G718" t="str">
        <f t="shared" si="22"/>
        <v>No</v>
      </c>
      <c r="H718">
        <f t="shared" si="23"/>
        <v>0</v>
      </c>
      <c r="I718" s="1">
        <f>IF(COUNTIF('Transaction Data'!A:A,A718)&gt;5,20,0)+IF(COUNTIFS('Transaction Data'!A:A,A718,'Transaction Data'!G:G,"Yes")&gt;2,30,0)</f>
        <v>30</v>
      </c>
      <c r="J718">
        <f>'Client Master Data'!I718+'Client Master Data'!J718+H718+I718</f>
        <v>30</v>
      </c>
    </row>
    <row r="719" spans="1:10">
      <c r="A719">
        <v>1487</v>
      </c>
      <c r="B719" t="s">
        <v>1483</v>
      </c>
      <c r="C719" t="s">
        <v>798</v>
      </c>
      <c r="D719">
        <v>446366</v>
      </c>
      <c r="E719" t="s">
        <v>593</v>
      </c>
      <c r="F719" t="s">
        <v>39</v>
      </c>
      <c r="G719" t="str">
        <f t="shared" si="22"/>
        <v>Yes</v>
      </c>
      <c r="H719">
        <f t="shared" si="23"/>
        <v>70</v>
      </c>
      <c r="I719" s="1">
        <f>IF(COUNTIF('Transaction Data'!A:A,A719)&gt;5,20,0)+IF(COUNTIFS('Transaction Data'!A:A,A719,'Transaction Data'!G:G,"Yes")&gt;2,30,0)</f>
        <v>0</v>
      </c>
      <c r="J719">
        <f>'Client Master Data'!I719+'Client Master Data'!J719+H719+I719</f>
        <v>70</v>
      </c>
    </row>
    <row r="720" spans="1:10">
      <c r="A720">
        <v>1376</v>
      </c>
      <c r="B720" t="s">
        <v>1484</v>
      </c>
      <c r="C720" t="s">
        <v>937</v>
      </c>
      <c r="D720">
        <v>443744</v>
      </c>
      <c r="E720" t="s">
        <v>600</v>
      </c>
      <c r="F720" t="s">
        <v>39</v>
      </c>
      <c r="G720" t="str">
        <f t="shared" si="22"/>
        <v>Yes</v>
      </c>
      <c r="H720">
        <f t="shared" si="23"/>
        <v>70</v>
      </c>
      <c r="I720" s="1">
        <f>IF(COUNTIF('Transaction Data'!A:A,A720)&gt;5,20,0)+IF(COUNTIFS('Transaction Data'!A:A,A720,'Transaction Data'!G:G,"Yes")&gt;2,30,0)</f>
        <v>50</v>
      </c>
      <c r="J720">
        <f>'Client Master Data'!I720+'Client Master Data'!J720+H720+I720</f>
        <v>120</v>
      </c>
    </row>
    <row r="721" spans="1:10">
      <c r="A721">
        <v>1527</v>
      </c>
      <c r="B721" t="s">
        <v>1485</v>
      </c>
      <c r="C721" t="s">
        <v>762</v>
      </c>
      <c r="D721">
        <v>438782</v>
      </c>
      <c r="E721" t="s">
        <v>600</v>
      </c>
      <c r="F721" t="s">
        <v>11</v>
      </c>
      <c r="G721" t="str">
        <f t="shared" si="22"/>
        <v>Yes</v>
      </c>
      <c r="H721">
        <f t="shared" si="23"/>
        <v>70</v>
      </c>
      <c r="I721" s="1">
        <f>IF(COUNTIF('Transaction Data'!A:A,A721)&gt;5,20,0)+IF(COUNTIFS('Transaction Data'!A:A,A721,'Transaction Data'!G:G,"Yes")&gt;2,30,0)</f>
        <v>0</v>
      </c>
      <c r="J721">
        <f>'Client Master Data'!I721+'Client Master Data'!J721+H721+I721</f>
        <v>70</v>
      </c>
    </row>
    <row r="722" spans="1:10">
      <c r="A722">
        <v>1212</v>
      </c>
      <c r="B722" t="s">
        <v>1486</v>
      </c>
      <c r="C722" t="s">
        <v>1127</v>
      </c>
      <c r="D722">
        <v>145712</v>
      </c>
      <c r="E722" t="s">
        <v>600</v>
      </c>
      <c r="F722" t="s">
        <v>17</v>
      </c>
      <c r="G722" t="str">
        <f t="shared" si="22"/>
        <v>Yes</v>
      </c>
      <c r="H722">
        <f t="shared" si="23"/>
        <v>70</v>
      </c>
      <c r="I722" s="1">
        <f>IF(COUNTIF('Transaction Data'!A:A,A722)&gt;5,20,0)+IF(COUNTIFS('Transaction Data'!A:A,A722,'Transaction Data'!G:G,"Yes")&gt;2,30,0)</f>
        <v>0</v>
      </c>
      <c r="J722">
        <f>'Client Master Data'!I722+'Client Master Data'!J722+H722+I722</f>
        <v>70</v>
      </c>
    </row>
    <row r="723" spans="1:10">
      <c r="A723">
        <v>1036</v>
      </c>
      <c r="B723" t="s">
        <v>1487</v>
      </c>
      <c r="C723" t="s">
        <v>729</v>
      </c>
      <c r="D723">
        <v>304606</v>
      </c>
      <c r="E723" t="s">
        <v>600</v>
      </c>
      <c r="F723" t="s">
        <v>23</v>
      </c>
      <c r="G723" t="str">
        <f t="shared" si="22"/>
        <v>Yes</v>
      </c>
      <c r="H723">
        <f t="shared" si="23"/>
        <v>70</v>
      </c>
      <c r="I723" s="1">
        <f>IF(COUNTIF('Transaction Data'!A:A,A723)&gt;5,20,0)+IF(COUNTIFS('Transaction Data'!A:A,A723,'Transaction Data'!G:G,"Yes")&gt;2,30,0)</f>
        <v>0</v>
      </c>
      <c r="J723">
        <f>'Client Master Data'!I723+'Client Master Data'!J723+H723+I723</f>
        <v>70</v>
      </c>
    </row>
    <row r="724" spans="1:10">
      <c r="A724">
        <v>1148</v>
      </c>
      <c r="B724" t="s">
        <v>1488</v>
      </c>
      <c r="C724" t="s">
        <v>1224</v>
      </c>
      <c r="D724">
        <v>176168</v>
      </c>
      <c r="E724" t="s">
        <v>600</v>
      </c>
      <c r="F724" t="s">
        <v>17</v>
      </c>
      <c r="G724" t="str">
        <f t="shared" si="22"/>
        <v>Yes</v>
      </c>
      <c r="H724">
        <f t="shared" si="23"/>
        <v>70</v>
      </c>
      <c r="I724" s="1">
        <f>IF(COUNTIF('Transaction Data'!A:A,A724)&gt;5,20,0)+IF(COUNTIFS('Transaction Data'!A:A,A724,'Transaction Data'!G:G,"Yes")&gt;2,30,0)</f>
        <v>0</v>
      </c>
      <c r="J724">
        <f>'Client Master Data'!I724+'Client Master Data'!J724+H724+I724</f>
        <v>70</v>
      </c>
    </row>
    <row r="725" spans="1:10">
      <c r="A725">
        <v>1448</v>
      </c>
      <c r="B725" t="s">
        <v>1489</v>
      </c>
      <c r="C725" t="s">
        <v>915</v>
      </c>
      <c r="D725">
        <v>222099</v>
      </c>
      <c r="E725" t="s">
        <v>588</v>
      </c>
      <c r="F725" t="s">
        <v>27</v>
      </c>
      <c r="G725" t="str">
        <f t="shared" si="22"/>
        <v>Yes</v>
      </c>
      <c r="H725">
        <f t="shared" si="23"/>
        <v>70</v>
      </c>
      <c r="I725" s="1">
        <f>IF(COUNTIF('Transaction Data'!A:A,A725)&gt;5,20,0)+IF(COUNTIFS('Transaction Data'!A:A,A725,'Transaction Data'!G:G,"Yes")&gt;2,30,0)</f>
        <v>30</v>
      </c>
      <c r="J725">
        <f>'Client Master Data'!I725+'Client Master Data'!J725+H725+I725</f>
        <v>100</v>
      </c>
    </row>
    <row r="726" spans="1:10">
      <c r="A726">
        <v>1281</v>
      </c>
      <c r="B726" t="s">
        <v>1490</v>
      </c>
      <c r="C726" t="s">
        <v>858</v>
      </c>
      <c r="D726">
        <v>172456</v>
      </c>
      <c r="E726" t="s">
        <v>588</v>
      </c>
      <c r="F726" t="s">
        <v>23</v>
      </c>
      <c r="G726" t="str">
        <f t="shared" si="22"/>
        <v>Yes</v>
      </c>
      <c r="H726">
        <f t="shared" si="23"/>
        <v>70</v>
      </c>
      <c r="I726" s="1">
        <f>IF(COUNTIF('Transaction Data'!A:A,A726)&gt;5,20,0)+IF(COUNTIFS('Transaction Data'!A:A,A726,'Transaction Data'!G:G,"Yes")&gt;2,30,0)</f>
        <v>0</v>
      </c>
      <c r="J726">
        <f>'Client Master Data'!I726+'Client Master Data'!J726+H726+I726</f>
        <v>70</v>
      </c>
    </row>
    <row r="727" spans="1:10">
      <c r="A727">
        <v>1225</v>
      </c>
      <c r="B727" t="s">
        <v>1491</v>
      </c>
      <c r="C727" t="s">
        <v>673</v>
      </c>
      <c r="D727">
        <v>365781</v>
      </c>
      <c r="E727" t="s">
        <v>600</v>
      </c>
      <c r="F727" t="s">
        <v>54</v>
      </c>
      <c r="G727" t="str">
        <f t="shared" si="22"/>
        <v>Yes</v>
      </c>
      <c r="H727">
        <f t="shared" si="23"/>
        <v>70</v>
      </c>
      <c r="I727" s="1">
        <f>IF(COUNTIF('Transaction Data'!A:A,A727)&gt;5,20,0)+IF(COUNTIFS('Transaction Data'!A:A,A727,'Transaction Data'!G:G,"Yes")&gt;2,30,0)</f>
        <v>30</v>
      </c>
      <c r="J727">
        <f>'Client Master Data'!I727+'Client Master Data'!J727+H727+I727</f>
        <v>100</v>
      </c>
    </row>
    <row r="728" spans="1:10">
      <c r="A728">
        <v>1110</v>
      </c>
      <c r="B728" t="s">
        <v>1492</v>
      </c>
      <c r="C728" t="s">
        <v>690</v>
      </c>
      <c r="D728">
        <v>2781</v>
      </c>
      <c r="E728" t="s">
        <v>588</v>
      </c>
      <c r="F728" t="s">
        <v>54</v>
      </c>
      <c r="G728" t="str">
        <f t="shared" si="22"/>
        <v>Yes</v>
      </c>
      <c r="H728">
        <f t="shared" si="23"/>
        <v>40</v>
      </c>
      <c r="I728" s="1">
        <f>IF(COUNTIF('Transaction Data'!A:A,A728)&gt;5,20,0)+IF(COUNTIFS('Transaction Data'!A:A,A728,'Transaction Data'!G:G,"Yes")&gt;2,30,0)</f>
        <v>0</v>
      </c>
      <c r="J728">
        <f>'Client Master Data'!I728+'Client Master Data'!J728+H728+I728</f>
        <v>40</v>
      </c>
    </row>
    <row r="729" spans="1:10">
      <c r="A729">
        <v>1495</v>
      </c>
      <c r="B729" t="s">
        <v>1493</v>
      </c>
      <c r="C729" t="s">
        <v>853</v>
      </c>
      <c r="D729">
        <v>240963</v>
      </c>
      <c r="E729" t="s">
        <v>600</v>
      </c>
      <c r="F729" t="s">
        <v>17</v>
      </c>
      <c r="G729" t="str">
        <f t="shared" si="22"/>
        <v>Yes</v>
      </c>
      <c r="H729">
        <f t="shared" si="23"/>
        <v>70</v>
      </c>
      <c r="I729" s="1">
        <f>IF(COUNTIF('Transaction Data'!A:A,A729)&gt;5,20,0)+IF(COUNTIFS('Transaction Data'!A:A,A729,'Transaction Data'!G:G,"Yes")&gt;2,30,0)</f>
        <v>30</v>
      </c>
      <c r="J729">
        <f>'Client Master Data'!I729+'Client Master Data'!J729+H729+I729</f>
        <v>100</v>
      </c>
    </row>
    <row r="730" spans="1:10">
      <c r="A730">
        <v>1131</v>
      </c>
      <c r="B730" t="s">
        <v>1494</v>
      </c>
      <c r="C730" t="s">
        <v>815</v>
      </c>
      <c r="D730">
        <v>398157</v>
      </c>
      <c r="E730" t="s">
        <v>588</v>
      </c>
      <c r="F730" t="s">
        <v>23</v>
      </c>
      <c r="G730" t="str">
        <f t="shared" si="22"/>
        <v>Yes</v>
      </c>
      <c r="H730">
        <f t="shared" si="23"/>
        <v>70</v>
      </c>
      <c r="I730" s="1">
        <f>IF(COUNTIF('Transaction Data'!A:A,A730)&gt;5,20,0)+IF(COUNTIFS('Transaction Data'!A:A,A730,'Transaction Data'!G:G,"Yes")&gt;2,30,0)</f>
        <v>0</v>
      </c>
      <c r="J730">
        <f>'Client Master Data'!I730+'Client Master Data'!J730+H730+I730</f>
        <v>70</v>
      </c>
    </row>
    <row r="731" spans="1:10">
      <c r="A731">
        <v>1036</v>
      </c>
      <c r="B731" t="s">
        <v>1495</v>
      </c>
      <c r="C731" t="s">
        <v>627</v>
      </c>
      <c r="D731">
        <v>102647</v>
      </c>
      <c r="E731" t="s">
        <v>600</v>
      </c>
      <c r="F731" t="s">
        <v>27</v>
      </c>
      <c r="G731" t="str">
        <f t="shared" si="22"/>
        <v>Yes</v>
      </c>
      <c r="H731">
        <f t="shared" si="23"/>
        <v>70</v>
      </c>
      <c r="I731" s="1">
        <f>IF(COUNTIF('Transaction Data'!A:A,A731)&gt;5,20,0)+IF(COUNTIFS('Transaction Data'!A:A,A731,'Transaction Data'!G:G,"Yes")&gt;2,30,0)</f>
        <v>0</v>
      </c>
      <c r="J731">
        <f>'Client Master Data'!I731+'Client Master Data'!J731+H731+I731</f>
        <v>70</v>
      </c>
    </row>
    <row r="732" spans="1:10">
      <c r="A732">
        <v>1161</v>
      </c>
      <c r="B732" t="s">
        <v>1496</v>
      </c>
      <c r="C732" t="s">
        <v>1014</v>
      </c>
      <c r="D732">
        <v>224691</v>
      </c>
      <c r="E732" t="s">
        <v>593</v>
      </c>
      <c r="F732" t="s">
        <v>54</v>
      </c>
      <c r="G732" t="str">
        <f t="shared" si="22"/>
        <v>Yes</v>
      </c>
      <c r="H732">
        <f t="shared" si="23"/>
        <v>70</v>
      </c>
      <c r="I732" s="1">
        <f>IF(COUNTIF('Transaction Data'!A:A,A732)&gt;5,20,0)+IF(COUNTIFS('Transaction Data'!A:A,A732,'Transaction Data'!G:G,"Yes")&gt;2,30,0)</f>
        <v>30</v>
      </c>
      <c r="J732">
        <f>'Client Master Data'!I732+'Client Master Data'!J732+H732+I732</f>
        <v>100</v>
      </c>
    </row>
    <row r="733" spans="1:10">
      <c r="A733">
        <v>1020</v>
      </c>
      <c r="B733" t="s">
        <v>1497</v>
      </c>
      <c r="C733" t="s">
        <v>915</v>
      </c>
      <c r="D733">
        <v>211420</v>
      </c>
      <c r="E733" t="s">
        <v>593</v>
      </c>
      <c r="F733" t="s">
        <v>54</v>
      </c>
      <c r="G733" t="str">
        <f t="shared" si="22"/>
        <v>Yes</v>
      </c>
      <c r="H733">
        <f t="shared" si="23"/>
        <v>70</v>
      </c>
      <c r="I733" s="1">
        <f>IF(COUNTIF('Transaction Data'!A:A,A733)&gt;5,20,0)+IF(COUNTIFS('Transaction Data'!A:A,A733,'Transaction Data'!G:G,"Yes")&gt;2,30,0)</f>
        <v>30</v>
      </c>
      <c r="J733">
        <f>'Client Master Data'!I733+'Client Master Data'!J733+H733+I733</f>
        <v>100</v>
      </c>
    </row>
    <row r="734" spans="1:10">
      <c r="A734">
        <v>1337</v>
      </c>
      <c r="B734" t="s">
        <v>1498</v>
      </c>
      <c r="C734" t="s">
        <v>1036</v>
      </c>
      <c r="D734">
        <v>98249</v>
      </c>
      <c r="E734" t="s">
        <v>588</v>
      </c>
      <c r="F734" t="s">
        <v>11</v>
      </c>
      <c r="G734" t="str">
        <f t="shared" si="22"/>
        <v>No</v>
      </c>
      <c r="H734">
        <f t="shared" si="23"/>
        <v>0</v>
      </c>
      <c r="I734" s="1">
        <f>IF(COUNTIF('Transaction Data'!A:A,A734)&gt;5,20,0)+IF(COUNTIFS('Transaction Data'!A:A,A734,'Transaction Data'!G:G,"Yes")&gt;2,30,0)</f>
        <v>30</v>
      </c>
      <c r="J734">
        <f>'Client Master Data'!I734+'Client Master Data'!J734+H734+I734</f>
        <v>30</v>
      </c>
    </row>
    <row r="735" spans="1:10">
      <c r="A735">
        <v>1416</v>
      </c>
      <c r="B735" t="s">
        <v>1499</v>
      </c>
      <c r="C735" t="s">
        <v>1400</v>
      </c>
      <c r="D735">
        <v>25370</v>
      </c>
      <c r="E735" t="s">
        <v>588</v>
      </c>
      <c r="F735" t="s">
        <v>27</v>
      </c>
      <c r="G735" t="str">
        <f t="shared" si="22"/>
        <v>No</v>
      </c>
      <c r="H735">
        <f t="shared" si="23"/>
        <v>0</v>
      </c>
      <c r="I735" s="1">
        <f>IF(COUNTIF('Transaction Data'!A:A,A735)&gt;5,20,0)+IF(COUNTIFS('Transaction Data'!A:A,A735,'Transaction Data'!G:G,"Yes")&gt;2,30,0)</f>
        <v>0</v>
      </c>
      <c r="J735">
        <f>'Client Master Data'!I735+'Client Master Data'!J735+H735+I735</f>
        <v>0</v>
      </c>
    </row>
    <row r="736" spans="1:10">
      <c r="A736">
        <v>1317</v>
      </c>
      <c r="B736" t="s">
        <v>1500</v>
      </c>
      <c r="C736" t="s">
        <v>736</v>
      </c>
      <c r="D736">
        <v>78843</v>
      </c>
      <c r="E736" t="s">
        <v>593</v>
      </c>
      <c r="F736" t="s">
        <v>11</v>
      </c>
      <c r="G736" t="str">
        <f t="shared" si="22"/>
        <v>No</v>
      </c>
      <c r="H736">
        <f t="shared" si="23"/>
        <v>0</v>
      </c>
      <c r="I736" s="1">
        <f>IF(COUNTIF('Transaction Data'!A:A,A736)&gt;5,20,0)+IF(COUNTIFS('Transaction Data'!A:A,A736,'Transaction Data'!G:G,"Yes")&gt;2,30,0)</f>
        <v>0</v>
      </c>
      <c r="J736">
        <f>'Client Master Data'!I736+'Client Master Data'!J736+H736+I736</f>
        <v>0</v>
      </c>
    </row>
    <row r="737" spans="1:10">
      <c r="A737">
        <v>1105</v>
      </c>
      <c r="B737" t="s">
        <v>1501</v>
      </c>
      <c r="C737" t="s">
        <v>1025</v>
      </c>
      <c r="D737">
        <v>10264</v>
      </c>
      <c r="E737" t="s">
        <v>600</v>
      </c>
      <c r="F737" t="s">
        <v>11</v>
      </c>
      <c r="G737" t="str">
        <f t="shared" si="22"/>
        <v>No</v>
      </c>
      <c r="H737">
        <f t="shared" si="23"/>
        <v>0</v>
      </c>
      <c r="I737" s="1">
        <f>IF(COUNTIF('Transaction Data'!A:A,A737)&gt;5,20,0)+IF(COUNTIFS('Transaction Data'!A:A,A737,'Transaction Data'!G:G,"Yes")&gt;2,30,0)</f>
        <v>0</v>
      </c>
      <c r="J737">
        <f>'Client Master Data'!I737+'Client Master Data'!J737+H737+I737</f>
        <v>0</v>
      </c>
    </row>
    <row r="738" spans="1:10">
      <c r="A738">
        <v>1152</v>
      </c>
      <c r="B738" t="s">
        <v>1502</v>
      </c>
      <c r="C738" t="s">
        <v>897</v>
      </c>
      <c r="D738">
        <v>469896</v>
      </c>
      <c r="E738" t="s">
        <v>588</v>
      </c>
      <c r="F738" t="s">
        <v>27</v>
      </c>
      <c r="G738" t="str">
        <f t="shared" si="22"/>
        <v>Yes</v>
      </c>
      <c r="H738">
        <f t="shared" si="23"/>
        <v>70</v>
      </c>
      <c r="I738" s="1">
        <f>IF(COUNTIF('Transaction Data'!A:A,A738)&gt;5,20,0)+IF(COUNTIFS('Transaction Data'!A:A,A738,'Transaction Data'!G:G,"Yes")&gt;2,30,0)</f>
        <v>0</v>
      </c>
      <c r="J738">
        <f>'Client Master Data'!I738+'Client Master Data'!J738+H738+I738</f>
        <v>70</v>
      </c>
    </row>
    <row r="739" spans="1:10">
      <c r="A739">
        <v>1096</v>
      </c>
      <c r="B739" t="s">
        <v>1503</v>
      </c>
      <c r="C739" t="s">
        <v>608</v>
      </c>
      <c r="D739">
        <v>441881</v>
      </c>
      <c r="E739" t="s">
        <v>600</v>
      </c>
      <c r="F739" t="s">
        <v>11</v>
      </c>
      <c r="G739" t="str">
        <f t="shared" si="22"/>
        <v>Yes</v>
      </c>
      <c r="H739">
        <f t="shared" si="23"/>
        <v>70</v>
      </c>
      <c r="I739" s="1">
        <f>IF(COUNTIF('Transaction Data'!A:A,A739)&gt;5,20,0)+IF(COUNTIFS('Transaction Data'!A:A,A739,'Transaction Data'!G:G,"Yes")&gt;2,30,0)</f>
        <v>30</v>
      </c>
      <c r="J739">
        <f>'Client Master Data'!I739+'Client Master Data'!J739+H739+I739</f>
        <v>100</v>
      </c>
    </row>
    <row r="740" spans="1:10">
      <c r="A740">
        <v>1060</v>
      </c>
      <c r="B740" t="s">
        <v>1504</v>
      </c>
      <c r="C740" t="s">
        <v>1505</v>
      </c>
      <c r="D740">
        <v>346285</v>
      </c>
      <c r="E740" t="s">
        <v>600</v>
      </c>
      <c r="F740" t="s">
        <v>39</v>
      </c>
      <c r="G740" t="str">
        <f t="shared" si="22"/>
        <v>Yes</v>
      </c>
      <c r="H740">
        <f t="shared" si="23"/>
        <v>70</v>
      </c>
      <c r="I740" s="1">
        <f>IF(COUNTIF('Transaction Data'!A:A,A740)&gt;5,20,0)+IF(COUNTIFS('Transaction Data'!A:A,A740,'Transaction Data'!G:G,"Yes")&gt;2,30,0)</f>
        <v>0</v>
      </c>
      <c r="J740">
        <f>'Client Master Data'!I740+'Client Master Data'!J740+H740+I740</f>
        <v>70</v>
      </c>
    </row>
    <row r="741" spans="1:10">
      <c r="A741">
        <v>1058</v>
      </c>
      <c r="B741" t="s">
        <v>1506</v>
      </c>
      <c r="C741" t="s">
        <v>1507</v>
      </c>
      <c r="D741">
        <v>211633</v>
      </c>
      <c r="E741" t="s">
        <v>600</v>
      </c>
      <c r="F741" t="s">
        <v>23</v>
      </c>
      <c r="G741" t="str">
        <f t="shared" si="22"/>
        <v>Yes</v>
      </c>
      <c r="H741">
        <f t="shared" si="23"/>
        <v>70</v>
      </c>
      <c r="I741" s="1">
        <f>IF(COUNTIF('Transaction Data'!A:A,A741)&gt;5,20,0)+IF(COUNTIFS('Transaction Data'!A:A,A741,'Transaction Data'!G:G,"Yes")&gt;2,30,0)</f>
        <v>30</v>
      </c>
      <c r="J741">
        <f>'Client Master Data'!I741+'Client Master Data'!J741+H741+I741</f>
        <v>100</v>
      </c>
    </row>
    <row r="742" spans="1:10">
      <c r="A742">
        <v>1274</v>
      </c>
      <c r="B742" t="s">
        <v>1508</v>
      </c>
      <c r="C742" t="s">
        <v>610</v>
      </c>
      <c r="D742">
        <v>491008</v>
      </c>
      <c r="E742" t="s">
        <v>588</v>
      </c>
      <c r="F742" t="s">
        <v>23</v>
      </c>
      <c r="G742" t="str">
        <f t="shared" si="22"/>
        <v>Yes</v>
      </c>
      <c r="H742">
        <f t="shared" si="23"/>
        <v>70</v>
      </c>
      <c r="I742" s="1">
        <f>IF(COUNTIF('Transaction Data'!A:A,A742)&gt;5,20,0)+IF(COUNTIFS('Transaction Data'!A:A,A742,'Transaction Data'!G:G,"Yes")&gt;2,30,0)</f>
        <v>30</v>
      </c>
      <c r="J742">
        <f>'Client Master Data'!I742+'Client Master Data'!J742+H742+I742</f>
        <v>100</v>
      </c>
    </row>
    <row r="743" spans="1:10">
      <c r="A743">
        <v>1377</v>
      </c>
      <c r="B743" t="s">
        <v>1509</v>
      </c>
      <c r="C743" t="s">
        <v>767</v>
      </c>
      <c r="D743">
        <v>134801</v>
      </c>
      <c r="E743" t="s">
        <v>600</v>
      </c>
      <c r="F743" t="s">
        <v>39</v>
      </c>
      <c r="G743" t="str">
        <f t="shared" si="22"/>
        <v>Yes</v>
      </c>
      <c r="H743">
        <f t="shared" si="23"/>
        <v>70</v>
      </c>
      <c r="I743" s="1">
        <f>IF(COUNTIF('Transaction Data'!A:A,A743)&gt;5,20,0)+IF(COUNTIFS('Transaction Data'!A:A,A743,'Transaction Data'!G:G,"Yes")&gt;2,30,0)</f>
        <v>0</v>
      </c>
      <c r="J743">
        <f>'Client Master Data'!I743+'Client Master Data'!J743+H743+I743</f>
        <v>70</v>
      </c>
    </row>
    <row r="744" spans="1:10">
      <c r="A744">
        <v>1304</v>
      </c>
      <c r="B744" t="s">
        <v>1510</v>
      </c>
      <c r="C744" t="s">
        <v>973</v>
      </c>
      <c r="D744">
        <v>77112</v>
      </c>
      <c r="E744" t="s">
        <v>588</v>
      </c>
      <c r="F744" t="s">
        <v>27</v>
      </c>
      <c r="G744" t="str">
        <f t="shared" si="22"/>
        <v>No</v>
      </c>
      <c r="H744">
        <f t="shared" si="23"/>
        <v>0</v>
      </c>
      <c r="I744" s="1">
        <f>IF(COUNTIF('Transaction Data'!A:A,A744)&gt;5,20,0)+IF(COUNTIFS('Transaction Data'!A:A,A744,'Transaction Data'!G:G,"Yes")&gt;2,30,0)</f>
        <v>0</v>
      </c>
      <c r="J744">
        <f>'Client Master Data'!I744+'Client Master Data'!J744+H744+I744</f>
        <v>0</v>
      </c>
    </row>
    <row r="745" spans="1:10">
      <c r="A745">
        <v>1132</v>
      </c>
      <c r="B745" t="s">
        <v>1511</v>
      </c>
      <c r="C745" t="s">
        <v>731</v>
      </c>
      <c r="D745">
        <v>472187</v>
      </c>
      <c r="E745" t="s">
        <v>600</v>
      </c>
      <c r="F745" t="s">
        <v>23</v>
      </c>
      <c r="G745" t="str">
        <f t="shared" si="22"/>
        <v>Yes</v>
      </c>
      <c r="H745">
        <f t="shared" si="23"/>
        <v>70</v>
      </c>
      <c r="I745" s="1">
        <f>IF(COUNTIF('Transaction Data'!A:A,A745)&gt;5,20,0)+IF(COUNTIFS('Transaction Data'!A:A,A745,'Transaction Data'!G:G,"Yes")&gt;2,30,0)</f>
        <v>0</v>
      </c>
      <c r="J745">
        <f>'Client Master Data'!I745+'Client Master Data'!J745+H745+I745</f>
        <v>70</v>
      </c>
    </row>
    <row r="746" spans="1:10">
      <c r="A746">
        <v>1413</v>
      </c>
      <c r="B746" t="s">
        <v>1512</v>
      </c>
      <c r="C746" t="s">
        <v>902</v>
      </c>
      <c r="D746">
        <v>131909</v>
      </c>
      <c r="E746" t="s">
        <v>600</v>
      </c>
      <c r="F746" t="s">
        <v>11</v>
      </c>
      <c r="G746" t="str">
        <f t="shared" si="22"/>
        <v>Yes</v>
      </c>
      <c r="H746">
        <f t="shared" si="23"/>
        <v>70</v>
      </c>
      <c r="I746" s="1">
        <f>IF(COUNTIF('Transaction Data'!A:A,A746)&gt;5,20,0)+IF(COUNTIFS('Transaction Data'!A:A,A746,'Transaction Data'!G:G,"Yes")&gt;2,30,0)</f>
        <v>30</v>
      </c>
      <c r="J746">
        <f>'Client Master Data'!I746+'Client Master Data'!J746+H746+I746</f>
        <v>100</v>
      </c>
    </row>
    <row r="747" spans="1:10">
      <c r="A747">
        <v>1346</v>
      </c>
      <c r="B747" t="s">
        <v>1513</v>
      </c>
      <c r="C747" t="s">
        <v>747</v>
      </c>
      <c r="D747">
        <v>440015</v>
      </c>
      <c r="E747" t="s">
        <v>600</v>
      </c>
      <c r="F747" t="s">
        <v>39</v>
      </c>
      <c r="G747" t="str">
        <f t="shared" si="22"/>
        <v>Yes</v>
      </c>
      <c r="H747">
        <f t="shared" si="23"/>
        <v>70</v>
      </c>
      <c r="I747" s="1">
        <f>IF(COUNTIF('Transaction Data'!A:A,A747)&gt;5,20,0)+IF(COUNTIFS('Transaction Data'!A:A,A747,'Transaction Data'!G:G,"Yes")&gt;2,30,0)</f>
        <v>0</v>
      </c>
      <c r="J747">
        <f>'Client Master Data'!I747+'Client Master Data'!J747+H747+I747</f>
        <v>70</v>
      </c>
    </row>
    <row r="748" spans="1:10">
      <c r="A748">
        <v>1376</v>
      </c>
      <c r="B748" t="s">
        <v>1514</v>
      </c>
      <c r="C748" t="s">
        <v>863</v>
      </c>
      <c r="D748">
        <v>28078</v>
      </c>
      <c r="E748" t="s">
        <v>588</v>
      </c>
      <c r="F748" t="s">
        <v>17</v>
      </c>
      <c r="G748" t="str">
        <f t="shared" si="22"/>
        <v>Yes</v>
      </c>
      <c r="H748">
        <f t="shared" si="23"/>
        <v>40</v>
      </c>
      <c r="I748" s="1">
        <f>IF(COUNTIF('Transaction Data'!A:A,A748)&gt;5,20,0)+IF(COUNTIFS('Transaction Data'!A:A,A748,'Transaction Data'!G:G,"Yes")&gt;2,30,0)</f>
        <v>50</v>
      </c>
      <c r="J748">
        <f>'Client Master Data'!I748+'Client Master Data'!J748+H748+I748</f>
        <v>90</v>
      </c>
    </row>
    <row r="749" spans="1:10">
      <c r="A749">
        <v>1283</v>
      </c>
      <c r="B749" t="s">
        <v>1515</v>
      </c>
      <c r="C749" t="s">
        <v>1014</v>
      </c>
      <c r="D749">
        <v>175017</v>
      </c>
      <c r="E749" t="s">
        <v>600</v>
      </c>
      <c r="F749" t="s">
        <v>39</v>
      </c>
      <c r="G749" t="str">
        <f t="shared" si="22"/>
        <v>Yes</v>
      </c>
      <c r="H749">
        <f t="shared" si="23"/>
        <v>70</v>
      </c>
      <c r="I749" s="1">
        <f>IF(COUNTIF('Transaction Data'!A:A,A749)&gt;5,20,0)+IF(COUNTIFS('Transaction Data'!A:A,A749,'Transaction Data'!G:G,"Yes")&gt;2,30,0)</f>
        <v>0</v>
      </c>
      <c r="J749">
        <f>'Client Master Data'!I749+'Client Master Data'!J749+H749+I749</f>
        <v>70</v>
      </c>
    </row>
    <row r="750" spans="1:10">
      <c r="A750">
        <v>1295</v>
      </c>
      <c r="B750" t="s">
        <v>1516</v>
      </c>
      <c r="C750" t="s">
        <v>973</v>
      </c>
      <c r="D750">
        <v>110434</v>
      </c>
      <c r="E750" t="s">
        <v>600</v>
      </c>
      <c r="F750" t="s">
        <v>39</v>
      </c>
      <c r="G750" t="str">
        <f t="shared" si="22"/>
        <v>Yes</v>
      </c>
      <c r="H750">
        <f t="shared" si="23"/>
        <v>70</v>
      </c>
      <c r="I750" s="1">
        <f>IF(COUNTIF('Transaction Data'!A:A,A750)&gt;5,20,0)+IF(COUNTIFS('Transaction Data'!A:A,A750,'Transaction Data'!G:G,"Yes")&gt;2,30,0)</f>
        <v>30</v>
      </c>
      <c r="J750">
        <f>'Client Master Data'!I750+'Client Master Data'!J750+H750+I750</f>
        <v>100</v>
      </c>
    </row>
    <row r="751" spans="1:10">
      <c r="A751">
        <v>1196</v>
      </c>
      <c r="B751" t="s">
        <v>1517</v>
      </c>
      <c r="C751" t="s">
        <v>627</v>
      </c>
      <c r="D751">
        <v>292637</v>
      </c>
      <c r="E751" t="s">
        <v>593</v>
      </c>
      <c r="F751" t="s">
        <v>23</v>
      </c>
      <c r="G751" t="str">
        <f t="shared" si="22"/>
        <v>Yes</v>
      </c>
      <c r="H751">
        <f t="shared" si="23"/>
        <v>70</v>
      </c>
      <c r="I751" s="1">
        <f>IF(COUNTIF('Transaction Data'!A:A,A751)&gt;5,20,0)+IF(COUNTIFS('Transaction Data'!A:A,A751,'Transaction Data'!G:G,"Yes")&gt;2,30,0)</f>
        <v>0</v>
      </c>
      <c r="J751">
        <f>'Client Master Data'!I751+'Client Master Data'!J751+H751+I751</f>
        <v>70</v>
      </c>
    </row>
    <row r="752" spans="1:10">
      <c r="A752">
        <v>1225</v>
      </c>
      <c r="B752" t="s">
        <v>1518</v>
      </c>
      <c r="C752" t="s">
        <v>987</v>
      </c>
      <c r="D752">
        <v>2206</v>
      </c>
      <c r="E752" t="s">
        <v>593</v>
      </c>
      <c r="F752" t="s">
        <v>17</v>
      </c>
      <c r="G752" t="str">
        <f t="shared" si="22"/>
        <v>Yes</v>
      </c>
      <c r="H752">
        <f t="shared" si="23"/>
        <v>40</v>
      </c>
      <c r="I752" s="1">
        <f>IF(COUNTIF('Transaction Data'!A:A,A752)&gt;5,20,0)+IF(COUNTIFS('Transaction Data'!A:A,A752,'Transaction Data'!G:G,"Yes")&gt;2,30,0)</f>
        <v>30</v>
      </c>
      <c r="J752">
        <f>'Client Master Data'!I752+'Client Master Data'!J752+H752+I752</f>
        <v>70</v>
      </c>
    </row>
    <row r="753" spans="1:10">
      <c r="A753">
        <v>1469</v>
      </c>
      <c r="B753" t="s">
        <v>1519</v>
      </c>
      <c r="C753" t="s">
        <v>669</v>
      </c>
      <c r="D753">
        <v>303206</v>
      </c>
      <c r="E753" t="s">
        <v>588</v>
      </c>
      <c r="F753" t="s">
        <v>23</v>
      </c>
      <c r="G753" t="str">
        <f t="shared" si="22"/>
        <v>Yes</v>
      </c>
      <c r="H753">
        <f t="shared" si="23"/>
        <v>70</v>
      </c>
      <c r="I753" s="1">
        <f>IF(COUNTIF('Transaction Data'!A:A,A753)&gt;5,20,0)+IF(COUNTIFS('Transaction Data'!A:A,A753,'Transaction Data'!G:G,"Yes")&gt;2,30,0)</f>
        <v>30</v>
      </c>
      <c r="J753">
        <f>'Client Master Data'!I753+'Client Master Data'!J753+H753+I753</f>
        <v>100</v>
      </c>
    </row>
    <row r="754" spans="1:10">
      <c r="A754">
        <v>1512</v>
      </c>
      <c r="B754" t="s">
        <v>1520</v>
      </c>
      <c r="C754" t="s">
        <v>650</v>
      </c>
      <c r="D754">
        <v>454296</v>
      </c>
      <c r="E754" t="s">
        <v>593</v>
      </c>
      <c r="F754" t="s">
        <v>23</v>
      </c>
      <c r="G754" t="str">
        <f t="shared" si="22"/>
        <v>Yes</v>
      </c>
      <c r="H754">
        <f t="shared" si="23"/>
        <v>70</v>
      </c>
      <c r="I754" s="1">
        <f>IF(COUNTIF('Transaction Data'!A:A,A754)&gt;5,20,0)+IF(COUNTIFS('Transaction Data'!A:A,A754,'Transaction Data'!G:G,"Yes")&gt;2,30,0)</f>
        <v>30</v>
      </c>
      <c r="J754">
        <f>'Client Master Data'!I754+'Client Master Data'!J754+H754+I754</f>
        <v>100</v>
      </c>
    </row>
    <row r="755" spans="1:10">
      <c r="A755">
        <v>1118</v>
      </c>
      <c r="B755" t="s">
        <v>1521</v>
      </c>
      <c r="C755" t="s">
        <v>756</v>
      </c>
      <c r="D755">
        <v>93199</v>
      </c>
      <c r="E755" t="s">
        <v>600</v>
      </c>
      <c r="F755" t="s">
        <v>39</v>
      </c>
      <c r="G755" t="str">
        <f t="shared" si="22"/>
        <v>No</v>
      </c>
      <c r="H755">
        <f t="shared" si="23"/>
        <v>0</v>
      </c>
      <c r="I755" s="1">
        <f>IF(COUNTIF('Transaction Data'!A:A,A755)&gt;5,20,0)+IF(COUNTIFS('Transaction Data'!A:A,A755,'Transaction Data'!G:G,"Yes")&gt;2,30,0)</f>
        <v>0</v>
      </c>
      <c r="J755">
        <f>'Client Master Data'!I755+'Client Master Data'!J755+H755+I755</f>
        <v>0</v>
      </c>
    </row>
    <row r="756" spans="1:10">
      <c r="A756">
        <v>1458</v>
      </c>
      <c r="B756" t="s">
        <v>1522</v>
      </c>
      <c r="C756" t="s">
        <v>635</v>
      </c>
      <c r="D756">
        <v>443389</v>
      </c>
      <c r="E756" t="s">
        <v>600</v>
      </c>
      <c r="F756" t="s">
        <v>39</v>
      </c>
      <c r="G756" t="str">
        <f t="shared" si="22"/>
        <v>Yes</v>
      </c>
      <c r="H756">
        <f t="shared" si="23"/>
        <v>70</v>
      </c>
      <c r="I756" s="1">
        <f>IF(COUNTIF('Transaction Data'!A:A,A756)&gt;5,20,0)+IF(COUNTIFS('Transaction Data'!A:A,A756,'Transaction Data'!G:G,"Yes")&gt;2,30,0)</f>
        <v>30</v>
      </c>
      <c r="J756">
        <f>'Client Master Data'!I756+'Client Master Data'!J756+H756+I756</f>
        <v>100</v>
      </c>
    </row>
    <row r="757" spans="1:10">
      <c r="A757">
        <v>1136</v>
      </c>
      <c r="B757" t="s">
        <v>1523</v>
      </c>
      <c r="C757" t="s">
        <v>789</v>
      </c>
      <c r="D757">
        <v>53467</v>
      </c>
      <c r="E757" t="s">
        <v>593</v>
      </c>
      <c r="F757" t="s">
        <v>23</v>
      </c>
      <c r="G757" t="str">
        <f t="shared" si="22"/>
        <v>No</v>
      </c>
      <c r="H757">
        <f t="shared" si="23"/>
        <v>0</v>
      </c>
      <c r="I757" s="1">
        <f>IF(COUNTIF('Transaction Data'!A:A,A757)&gt;5,20,0)+IF(COUNTIFS('Transaction Data'!A:A,A757,'Transaction Data'!G:G,"Yes")&gt;2,30,0)</f>
        <v>0</v>
      </c>
      <c r="J757">
        <f>'Client Master Data'!I757+'Client Master Data'!J757+H757+I757</f>
        <v>0</v>
      </c>
    </row>
    <row r="758" spans="1:10">
      <c r="A758">
        <v>1235</v>
      </c>
      <c r="B758" t="s">
        <v>1524</v>
      </c>
      <c r="C758" t="s">
        <v>950</v>
      </c>
      <c r="D758">
        <v>337948</v>
      </c>
      <c r="E758" t="s">
        <v>600</v>
      </c>
      <c r="F758" t="s">
        <v>23</v>
      </c>
      <c r="G758" t="str">
        <f t="shared" si="22"/>
        <v>Yes</v>
      </c>
      <c r="H758">
        <f t="shared" si="23"/>
        <v>70</v>
      </c>
      <c r="I758" s="1">
        <f>IF(COUNTIF('Transaction Data'!A:A,A758)&gt;5,20,0)+IF(COUNTIFS('Transaction Data'!A:A,A758,'Transaction Data'!G:G,"Yes")&gt;2,30,0)</f>
        <v>30</v>
      </c>
      <c r="J758">
        <f>'Client Master Data'!I758+'Client Master Data'!J758+H758+I758</f>
        <v>100</v>
      </c>
    </row>
    <row r="759" spans="1:10">
      <c r="A759">
        <v>1048</v>
      </c>
      <c r="B759" t="s">
        <v>1525</v>
      </c>
      <c r="C759" t="s">
        <v>612</v>
      </c>
      <c r="D759">
        <v>1103</v>
      </c>
      <c r="E759" t="s">
        <v>593</v>
      </c>
      <c r="F759" t="s">
        <v>54</v>
      </c>
      <c r="G759" t="str">
        <f t="shared" si="22"/>
        <v>Yes</v>
      </c>
      <c r="H759">
        <f t="shared" si="23"/>
        <v>40</v>
      </c>
      <c r="I759" s="1">
        <f>IF(COUNTIF('Transaction Data'!A:A,A759)&gt;5,20,0)+IF(COUNTIFS('Transaction Data'!A:A,A759,'Transaction Data'!G:G,"Yes")&gt;2,30,0)</f>
        <v>30</v>
      </c>
      <c r="J759">
        <f>'Client Master Data'!I759+'Client Master Data'!J759+H759+I759</f>
        <v>70</v>
      </c>
    </row>
    <row r="760" spans="1:10">
      <c r="A760">
        <v>1213</v>
      </c>
      <c r="B760" t="s">
        <v>1526</v>
      </c>
      <c r="C760" t="s">
        <v>921</v>
      </c>
      <c r="D760">
        <v>465634</v>
      </c>
      <c r="E760" t="s">
        <v>600</v>
      </c>
      <c r="F760" t="s">
        <v>17</v>
      </c>
      <c r="G760" t="str">
        <f t="shared" si="22"/>
        <v>Yes</v>
      </c>
      <c r="H760">
        <f t="shared" si="23"/>
        <v>70</v>
      </c>
      <c r="I760" s="1">
        <f>IF(COUNTIF('Transaction Data'!A:A,A760)&gt;5,20,0)+IF(COUNTIFS('Transaction Data'!A:A,A760,'Transaction Data'!G:G,"Yes")&gt;2,30,0)</f>
        <v>50</v>
      </c>
      <c r="J760">
        <f>'Client Master Data'!I760+'Client Master Data'!J760+H760+I760</f>
        <v>120</v>
      </c>
    </row>
    <row r="761" spans="1:10">
      <c r="A761">
        <v>1397</v>
      </c>
      <c r="B761" t="s">
        <v>1527</v>
      </c>
      <c r="C761" t="s">
        <v>723</v>
      </c>
      <c r="D761">
        <v>270007</v>
      </c>
      <c r="E761" t="s">
        <v>600</v>
      </c>
      <c r="F761" t="s">
        <v>54</v>
      </c>
      <c r="G761" t="str">
        <f t="shared" si="22"/>
        <v>Yes</v>
      </c>
      <c r="H761">
        <f t="shared" si="23"/>
        <v>70</v>
      </c>
      <c r="I761" s="1">
        <f>IF(COUNTIF('Transaction Data'!A:A,A761)&gt;5,20,0)+IF(COUNTIFS('Transaction Data'!A:A,A761,'Transaction Data'!G:G,"Yes")&gt;2,30,0)</f>
        <v>30</v>
      </c>
      <c r="J761">
        <f>'Client Master Data'!I761+'Client Master Data'!J761+H761+I761</f>
        <v>100</v>
      </c>
    </row>
    <row r="762" spans="1:10">
      <c r="A762">
        <v>1548</v>
      </c>
      <c r="B762" t="s">
        <v>1528</v>
      </c>
      <c r="C762" t="s">
        <v>687</v>
      </c>
      <c r="D762">
        <v>148957</v>
      </c>
      <c r="E762" t="s">
        <v>593</v>
      </c>
      <c r="F762" t="s">
        <v>11</v>
      </c>
      <c r="G762" t="str">
        <f t="shared" si="22"/>
        <v>Yes</v>
      </c>
      <c r="H762">
        <f t="shared" si="23"/>
        <v>70</v>
      </c>
      <c r="I762" s="1">
        <f>IF(COUNTIF('Transaction Data'!A:A,A762)&gt;5,20,0)+IF(COUNTIFS('Transaction Data'!A:A,A762,'Transaction Data'!G:G,"Yes")&gt;2,30,0)</f>
        <v>50</v>
      </c>
      <c r="J762">
        <f>'Client Master Data'!I762+'Client Master Data'!J762+H762+I762</f>
        <v>120</v>
      </c>
    </row>
    <row r="763" spans="1:10">
      <c r="A763">
        <v>1314</v>
      </c>
      <c r="B763" t="s">
        <v>1529</v>
      </c>
      <c r="C763" t="s">
        <v>868</v>
      </c>
      <c r="D763">
        <v>352244</v>
      </c>
      <c r="E763" t="s">
        <v>600</v>
      </c>
      <c r="F763" t="s">
        <v>11</v>
      </c>
      <c r="G763" t="str">
        <f t="shared" si="22"/>
        <v>Yes</v>
      </c>
      <c r="H763">
        <f t="shared" si="23"/>
        <v>70</v>
      </c>
      <c r="I763" s="1">
        <f>IF(COUNTIF('Transaction Data'!A:A,A763)&gt;5,20,0)+IF(COUNTIFS('Transaction Data'!A:A,A763,'Transaction Data'!G:G,"Yes")&gt;2,30,0)</f>
        <v>30</v>
      </c>
      <c r="J763">
        <f>'Client Master Data'!I763+'Client Master Data'!J763+H763+I763</f>
        <v>100</v>
      </c>
    </row>
    <row r="764" spans="1:10">
      <c r="A764">
        <v>1545</v>
      </c>
      <c r="B764" t="s">
        <v>1530</v>
      </c>
      <c r="C764" t="s">
        <v>738</v>
      </c>
      <c r="D764">
        <v>120966</v>
      </c>
      <c r="E764" t="s">
        <v>600</v>
      </c>
      <c r="F764" t="s">
        <v>11</v>
      </c>
      <c r="G764" t="str">
        <f t="shared" si="22"/>
        <v>Yes</v>
      </c>
      <c r="H764">
        <f t="shared" si="23"/>
        <v>70</v>
      </c>
      <c r="I764" s="1">
        <f>IF(COUNTIF('Transaction Data'!A:A,A764)&gt;5,20,0)+IF(COUNTIFS('Transaction Data'!A:A,A764,'Transaction Data'!G:G,"Yes")&gt;2,30,0)</f>
        <v>30</v>
      </c>
      <c r="J764">
        <f>'Client Master Data'!I764+'Client Master Data'!J764+H764+I764</f>
        <v>100</v>
      </c>
    </row>
    <row r="765" spans="1:10">
      <c r="A765">
        <v>1004</v>
      </c>
      <c r="B765" t="s">
        <v>1531</v>
      </c>
      <c r="C765" t="s">
        <v>762</v>
      </c>
      <c r="D765">
        <v>210078</v>
      </c>
      <c r="E765" t="s">
        <v>593</v>
      </c>
      <c r="F765" t="s">
        <v>17</v>
      </c>
      <c r="G765" t="str">
        <f t="shared" si="22"/>
        <v>Yes</v>
      </c>
      <c r="H765">
        <f t="shared" si="23"/>
        <v>70</v>
      </c>
      <c r="I765" s="1">
        <f>IF(COUNTIF('Transaction Data'!A:A,A765)&gt;5,20,0)+IF(COUNTIFS('Transaction Data'!A:A,A765,'Transaction Data'!G:G,"Yes")&gt;2,30,0)</f>
        <v>30</v>
      </c>
      <c r="J765">
        <f>'Client Master Data'!I765+'Client Master Data'!J765+H765+I765</f>
        <v>100</v>
      </c>
    </row>
    <row r="766" spans="1:10">
      <c r="A766">
        <v>1191</v>
      </c>
      <c r="B766" t="s">
        <v>1532</v>
      </c>
      <c r="C766" t="s">
        <v>612</v>
      </c>
      <c r="D766">
        <v>169411</v>
      </c>
      <c r="E766" t="s">
        <v>588</v>
      </c>
      <c r="F766" t="s">
        <v>23</v>
      </c>
      <c r="G766" t="str">
        <f t="shared" si="22"/>
        <v>Yes</v>
      </c>
      <c r="H766">
        <f t="shared" si="23"/>
        <v>70</v>
      </c>
      <c r="I766" s="1">
        <f>IF(COUNTIF('Transaction Data'!A:A,A766)&gt;5,20,0)+IF(COUNTIFS('Transaction Data'!A:A,A766,'Transaction Data'!G:G,"Yes")&gt;2,30,0)</f>
        <v>30</v>
      </c>
      <c r="J766">
        <f>'Client Master Data'!I766+'Client Master Data'!J766+H766+I766</f>
        <v>100</v>
      </c>
    </row>
    <row r="767" spans="1:10">
      <c r="A767">
        <v>1409</v>
      </c>
      <c r="B767" t="s">
        <v>1533</v>
      </c>
      <c r="C767" t="s">
        <v>599</v>
      </c>
      <c r="D767">
        <v>89881</v>
      </c>
      <c r="E767" t="s">
        <v>588</v>
      </c>
      <c r="F767" t="s">
        <v>54</v>
      </c>
      <c r="G767" t="str">
        <f t="shared" si="22"/>
        <v>Yes</v>
      </c>
      <c r="H767">
        <f t="shared" si="23"/>
        <v>40</v>
      </c>
      <c r="I767" s="1">
        <f>IF(COUNTIF('Transaction Data'!A:A,A767)&gt;5,20,0)+IF(COUNTIFS('Transaction Data'!A:A,A767,'Transaction Data'!G:G,"Yes")&gt;2,30,0)</f>
        <v>30</v>
      </c>
      <c r="J767">
        <f>'Client Master Data'!I767+'Client Master Data'!J767+H767+I767</f>
        <v>70</v>
      </c>
    </row>
    <row r="768" spans="1:10">
      <c r="A768">
        <v>1334</v>
      </c>
      <c r="B768" t="s">
        <v>1534</v>
      </c>
      <c r="C768" t="s">
        <v>842</v>
      </c>
      <c r="D768">
        <v>70182</v>
      </c>
      <c r="E768" t="s">
        <v>600</v>
      </c>
      <c r="F768" t="s">
        <v>23</v>
      </c>
      <c r="G768" t="str">
        <f t="shared" si="22"/>
        <v>No</v>
      </c>
      <c r="H768">
        <f t="shared" si="23"/>
        <v>0</v>
      </c>
      <c r="I768" s="1">
        <f>IF(COUNTIF('Transaction Data'!A:A,A768)&gt;5,20,0)+IF(COUNTIFS('Transaction Data'!A:A,A768,'Transaction Data'!G:G,"Yes")&gt;2,30,0)</f>
        <v>0</v>
      </c>
      <c r="J768">
        <f>'Client Master Data'!I768+'Client Master Data'!J768+H768+I768</f>
        <v>0</v>
      </c>
    </row>
    <row r="769" spans="1:10">
      <c r="A769">
        <v>1331</v>
      </c>
      <c r="B769" t="s">
        <v>1535</v>
      </c>
      <c r="C769" t="s">
        <v>1179</v>
      </c>
      <c r="D769">
        <v>368775</v>
      </c>
      <c r="E769" t="s">
        <v>600</v>
      </c>
      <c r="F769" t="s">
        <v>11</v>
      </c>
      <c r="G769" t="str">
        <f t="shared" si="22"/>
        <v>Yes</v>
      </c>
      <c r="H769">
        <f t="shared" si="23"/>
        <v>70</v>
      </c>
      <c r="I769" s="1">
        <f>IF(COUNTIF('Transaction Data'!A:A,A769)&gt;5,20,0)+IF(COUNTIFS('Transaction Data'!A:A,A769,'Transaction Data'!G:G,"Yes")&gt;2,30,0)</f>
        <v>30</v>
      </c>
      <c r="J769">
        <f>'Client Master Data'!I769+'Client Master Data'!J769+H769+I769</f>
        <v>100</v>
      </c>
    </row>
    <row r="770" spans="1:10">
      <c r="A770">
        <v>1211</v>
      </c>
      <c r="B770" t="s">
        <v>1536</v>
      </c>
      <c r="C770" t="s">
        <v>612</v>
      </c>
      <c r="D770">
        <v>342547</v>
      </c>
      <c r="E770" t="s">
        <v>588</v>
      </c>
      <c r="F770" t="s">
        <v>54</v>
      </c>
      <c r="G770" t="str">
        <f t="shared" ref="G770:G833" si="24">IF(OR(D770&gt;100000,F770="UAE",F770="Nigeria"),"Yes","No")</f>
        <v>Yes</v>
      </c>
      <c r="H770">
        <f t="shared" si="23"/>
        <v>70</v>
      </c>
      <c r="I770" s="1">
        <f>IF(COUNTIF('Transaction Data'!A:A,A770)&gt;5,20,0)+IF(COUNTIFS('Transaction Data'!A:A,A770,'Transaction Data'!G:G,"Yes")&gt;2,30,0)</f>
        <v>30</v>
      </c>
      <c r="J770">
        <f>'Client Master Data'!I770+'Client Master Data'!J770+H770+I770</f>
        <v>100</v>
      </c>
    </row>
    <row r="771" spans="1:10">
      <c r="A771">
        <v>1490</v>
      </c>
      <c r="B771" t="s">
        <v>1537</v>
      </c>
      <c r="C771" t="s">
        <v>946</v>
      </c>
      <c r="D771">
        <v>438813</v>
      </c>
      <c r="E771" t="s">
        <v>600</v>
      </c>
      <c r="F771" t="s">
        <v>27</v>
      </c>
      <c r="G771" t="str">
        <f t="shared" si="24"/>
        <v>Yes</v>
      </c>
      <c r="H771">
        <f t="shared" ref="H771:H834" si="25">IF(D771&gt;100000,30,0)+IF(TRIM(LOWER(G771))="yes",40,0)</f>
        <v>70</v>
      </c>
      <c r="I771" s="1">
        <f>IF(COUNTIF('Transaction Data'!A:A,A771)&gt;5,20,0)+IF(COUNTIFS('Transaction Data'!A:A,A771,'Transaction Data'!G:G,"Yes")&gt;2,30,0)</f>
        <v>30</v>
      </c>
      <c r="J771">
        <f>'Client Master Data'!I771+'Client Master Data'!J771+H771+I771</f>
        <v>100</v>
      </c>
    </row>
    <row r="772" spans="1:10">
      <c r="A772">
        <v>1273</v>
      </c>
      <c r="B772" t="s">
        <v>1538</v>
      </c>
      <c r="C772" t="s">
        <v>660</v>
      </c>
      <c r="D772">
        <v>118909</v>
      </c>
      <c r="E772" t="s">
        <v>600</v>
      </c>
      <c r="F772" t="s">
        <v>27</v>
      </c>
      <c r="G772" t="str">
        <f t="shared" si="24"/>
        <v>Yes</v>
      </c>
      <c r="H772">
        <f t="shared" si="25"/>
        <v>70</v>
      </c>
      <c r="I772" s="1">
        <f>IF(COUNTIF('Transaction Data'!A:A,A772)&gt;5,20,0)+IF(COUNTIFS('Transaction Data'!A:A,A772,'Transaction Data'!G:G,"Yes")&gt;2,30,0)</f>
        <v>0</v>
      </c>
      <c r="J772">
        <f>'Client Master Data'!I772+'Client Master Data'!J772+H772+I772</f>
        <v>70</v>
      </c>
    </row>
    <row r="773" spans="1:10">
      <c r="A773">
        <v>1142</v>
      </c>
      <c r="B773" t="s">
        <v>1539</v>
      </c>
      <c r="C773" t="s">
        <v>656</v>
      </c>
      <c r="D773">
        <v>84767</v>
      </c>
      <c r="E773" t="s">
        <v>588</v>
      </c>
      <c r="F773" t="s">
        <v>54</v>
      </c>
      <c r="G773" t="str">
        <f t="shared" si="24"/>
        <v>Yes</v>
      </c>
      <c r="H773">
        <f t="shared" si="25"/>
        <v>40</v>
      </c>
      <c r="I773" s="1">
        <f>IF(COUNTIF('Transaction Data'!A:A,A773)&gt;5,20,0)+IF(COUNTIFS('Transaction Data'!A:A,A773,'Transaction Data'!G:G,"Yes")&gt;2,30,0)</f>
        <v>0</v>
      </c>
      <c r="J773">
        <f>'Client Master Data'!I773+'Client Master Data'!J773+H773+I773</f>
        <v>40</v>
      </c>
    </row>
    <row r="774" spans="1:10">
      <c r="A774">
        <v>1508</v>
      </c>
      <c r="B774" t="s">
        <v>1540</v>
      </c>
      <c r="C774" t="s">
        <v>861</v>
      </c>
      <c r="D774">
        <v>414463</v>
      </c>
      <c r="E774" t="s">
        <v>593</v>
      </c>
      <c r="F774" t="s">
        <v>39</v>
      </c>
      <c r="G774" t="str">
        <f t="shared" si="24"/>
        <v>Yes</v>
      </c>
      <c r="H774">
        <f t="shared" si="25"/>
        <v>70</v>
      </c>
      <c r="I774" s="1">
        <f>IF(COUNTIF('Transaction Data'!A:A,A774)&gt;5,20,0)+IF(COUNTIFS('Transaction Data'!A:A,A774,'Transaction Data'!G:G,"Yes")&gt;2,30,0)</f>
        <v>30</v>
      </c>
      <c r="J774">
        <f>'Client Master Data'!I774+'Client Master Data'!J774+H774+I774</f>
        <v>100</v>
      </c>
    </row>
    <row r="775" spans="1:10">
      <c r="A775">
        <v>1483</v>
      </c>
      <c r="B775" t="s">
        <v>1541</v>
      </c>
      <c r="C775" t="s">
        <v>700</v>
      </c>
      <c r="D775">
        <v>171905</v>
      </c>
      <c r="E775" t="s">
        <v>588</v>
      </c>
      <c r="F775" t="s">
        <v>23</v>
      </c>
      <c r="G775" t="str">
        <f t="shared" si="24"/>
        <v>Yes</v>
      </c>
      <c r="H775">
        <f t="shared" si="25"/>
        <v>70</v>
      </c>
      <c r="I775" s="1">
        <f>IF(COUNTIF('Transaction Data'!A:A,A775)&gt;5,20,0)+IF(COUNTIFS('Transaction Data'!A:A,A775,'Transaction Data'!G:G,"Yes")&gt;2,30,0)</f>
        <v>0</v>
      </c>
      <c r="J775">
        <f>'Client Master Data'!I775+'Client Master Data'!J775+H775+I775</f>
        <v>70</v>
      </c>
    </row>
    <row r="776" spans="1:10">
      <c r="A776">
        <v>1178</v>
      </c>
      <c r="B776" t="s">
        <v>1542</v>
      </c>
      <c r="C776" t="s">
        <v>1467</v>
      </c>
      <c r="D776">
        <v>267351</v>
      </c>
      <c r="E776" t="s">
        <v>588</v>
      </c>
      <c r="F776" t="s">
        <v>54</v>
      </c>
      <c r="G776" t="str">
        <f t="shared" si="24"/>
        <v>Yes</v>
      </c>
      <c r="H776">
        <f t="shared" si="25"/>
        <v>70</v>
      </c>
      <c r="I776" s="1">
        <f>IF(COUNTIF('Transaction Data'!A:A,A776)&gt;5,20,0)+IF(COUNTIFS('Transaction Data'!A:A,A776,'Transaction Data'!G:G,"Yes")&gt;2,30,0)</f>
        <v>0</v>
      </c>
      <c r="J776">
        <f>'Client Master Data'!I776+'Client Master Data'!J776+H776+I776</f>
        <v>70</v>
      </c>
    </row>
    <row r="777" spans="1:10">
      <c r="A777">
        <v>1242</v>
      </c>
      <c r="B777" t="s">
        <v>1543</v>
      </c>
      <c r="C777" t="s">
        <v>687</v>
      </c>
      <c r="D777">
        <v>427438</v>
      </c>
      <c r="E777" t="s">
        <v>588</v>
      </c>
      <c r="F777" t="s">
        <v>54</v>
      </c>
      <c r="G777" t="str">
        <f t="shared" si="24"/>
        <v>Yes</v>
      </c>
      <c r="H777">
        <f t="shared" si="25"/>
        <v>70</v>
      </c>
      <c r="I777" s="1">
        <f>IF(COUNTIF('Transaction Data'!A:A,A777)&gt;5,20,0)+IF(COUNTIFS('Transaction Data'!A:A,A777,'Transaction Data'!G:G,"Yes")&gt;2,30,0)</f>
        <v>0</v>
      </c>
      <c r="J777">
        <f>'Client Master Data'!I777+'Client Master Data'!J777+H777+I777</f>
        <v>70</v>
      </c>
    </row>
    <row r="778" spans="1:10">
      <c r="A778">
        <v>1288</v>
      </c>
      <c r="B778" t="s">
        <v>1544</v>
      </c>
      <c r="C778" t="s">
        <v>642</v>
      </c>
      <c r="D778">
        <v>46911</v>
      </c>
      <c r="E778" t="s">
        <v>600</v>
      </c>
      <c r="F778" t="s">
        <v>17</v>
      </c>
      <c r="G778" t="str">
        <f t="shared" si="24"/>
        <v>Yes</v>
      </c>
      <c r="H778">
        <f t="shared" si="25"/>
        <v>40</v>
      </c>
      <c r="I778" s="1">
        <f>IF(COUNTIF('Transaction Data'!A:A,A778)&gt;5,20,0)+IF(COUNTIFS('Transaction Data'!A:A,A778,'Transaction Data'!G:G,"Yes")&gt;2,30,0)</f>
        <v>0</v>
      </c>
      <c r="J778">
        <f>'Client Master Data'!I778+'Client Master Data'!J778+H778+I778</f>
        <v>40</v>
      </c>
    </row>
    <row r="779" spans="1:10">
      <c r="A779">
        <v>1012</v>
      </c>
      <c r="B779" t="s">
        <v>1545</v>
      </c>
      <c r="C779" t="s">
        <v>987</v>
      </c>
      <c r="D779">
        <v>346105</v>
      </c>
      <c r="E779" t="s">
        <v>600</v>
      </c>
      <c r="F779" t="s">
        <v>54</v>
      </c>
      <c r="G779" t="str">
        <f t="shared" si="24"/>
        <v>Yes</v>
      </c>
      <c r="H779">
        <f t="shared" si="25"/>
        <v>70</v>
      </c>
      <c r="I779" s="1">
        <f>IF(COUNTIF('Transaction Data'!A:A,A779)&gt;5,20,0)+IF(COUNTIFS('Transaction Data'!A:A,A779,'Transaction Data'!G:G,"Yes")&gt;2,30,0)</f>
        <v>0</v>
      </c>
      <c r="J779">
        <f>'Client Master Data'!I779+'Client Master Data'!J779+H779+I779</f>
        <v>70</v>
      </c>
    </row>
    <row r="780" spans="1:10">
      <c r="A780">
        <v>1033</v>
      </c>
      <c r="B780" t="s">
        <v>1546</v>
      </c>
      <c r="C780" t="s">
        <v>856</v>
      </c>
      <c r="D780">
        <v>459013</v>
      </c>
      <c r="E780" t="s">
        <v>593</v>
      </c>
      <c r="F780" t="s">
        <v>23</v>
      </c>
      <c r="G780" t="str">
        <f t="shared" si="24"/>
        <v>Yes</v>
      </c>
      <c r="H780">
        <f t="shared" si="25"/>
        <v>70</v>
      </c>
      <c r="I780" s="1">
        <f>IF(COUNTIF('Transaction Data'!A:A,A780)&gt;5,20,0)+IF(COUNTIFS('Transaction Data'!A:A,A780,'Transaction Data'!G:G,"Yes")&gt;2,30,0)</f>
        <v>0</v>
      </c>
      <c r="J780">
        <f>'Client Master Data'!I780+'Client Master Data'!J780+H780+I780</f>
        <v>70</v>
      </c>
    </row>
    <row r="781" spans="1:10">
      <c r="A781">
        <v>1318</v>
      </c>
      <c r="B781" t="s">
        <v>1547</v>
      </c>
      <c r="C781" t="s">
        <v>895</v>
      </c>
      <c r="D781">
        <v>129857</v>
      </c>
      <c r="E781" t="s">
        <v>588</v>
      </c>
      <c r="F781" t="s">
        <v>23</v>
      </c>
      <c r="G781" t="str">
        <f t="shared" si="24"/>
        <v>Yes</v>
      </c>
      <c r="H781">
        <f t="shared" si="25"/>
        <v>70</v>
      </c>
      <c r="I781" s="1">
        <f>IF(COUNTIF('Transaction Data'!A:A,A781)&gt;5,20,0)+IF(COUNTIFS('Transaction Data'!A:A,A781,'Transaction Data'!G:G,"Yes")&gt;2,30,0)</f>
        <v>0</v>
      </c>
      <c r="J781">
        <f>'Client Master Data'!I781+'Client Master Data'!J781+H781+I781</f>
        <v>70</v>
      </c>
    </row>
    <row r="782" spans="1:10">
      <c r="A782">
        <v>1548</v>
      </c>
      <c r="B782" t="s">
        <v>1548</v>
      </c>
      <c r="C782" t="s">
        <v>743</v>
      </c>
      <c r="D782">
        <v>368732</v>
      </c>
      <c r="E782" t="s">
        <v>588</v>
      </c>
      <c r="F782" t="s">
        <v>17</v>
      </c>
      <c r="G782" t="str">
        <f t="shared" si="24"/>
        <v>Yes</v>
      </c>
      <c r="H782">
        <f t="shared" si="25"/>
        <v>70</v>
      </c>
      <c r="I782" s="1">
        <f>IF(COUNTIF('Transaction Data'!A:A,A782)&gt;5,20,0)+IF(COUNTIFS('Transaction Data'!A:A,A782,'Transaction Data'!G:G,"Yes")&gt;2,30,0)</f>
        <v>50</v>
      </c>
      <c r="J782">
        <f>'Client Master Data'!I782+'Client Master Data'!J782+H782+I782</f>
        <v>120</v>
      </c>
    </row>
    <row r="783" spans="1:10">
      <c r="A783">
        <v>1004</v>
      </c>
      <c r="B783" t="s">
        <v>1549</v>
      </c>
      <c r="C783" t="s">
        <v>680</v>
      </c>
      <c r="D783">
        <v>145331</v>
      </c>
      <c r="E783" t="s">
        <v>600</v>
      </c>
      <c r="F783" t="s">
        <v>17</v>
      </c>
      <c r="G783" t="str">
        <f t="shared" si="24"/>
        <v>Yes</v>
      </c>
      <c r="H783">
        <f t="shared" si="25"/>
        <v>70</v>
      </c>
      <c r="I783" s="1">
        <f>IF(COUNTIF('Transaction Data'!A:A,A783)&gt;5,20,0)+IF(COUNTIFS('Transaction Data'!A:A,A783,'Transaction Data'!G:G,"Yes")&gt;2,30,0)</f>
        <v>30</v>
      </c>
      <c r="J783">
        <f>'Client Master Data'!I783+'Client Master Data'!J783+H783+I783</f>
        <v>100</v>
      </c>
    </row>
    <row r="784" spans="1:10">
      <c r="A784">
        <v>1498</v>
      </c>
      <c r="B784" t="s">
        <v>1550</v>
      </c>
      <c r="C784" t="s">
        <v>1053</v>
      </c>
      <c r="D784">
        <v>213305</v>
      </c>
      <c r="E784" t="s">
        <v>588</v>
      </c>
      <c r="F784" t="s">
        <v>27</v>
      </c>
      <c r="G784" t="str">
        <f t="shared" si="24"/>
        <v>Yes</v>
      </c>
      <c r="H784">
        <f t="shared" si="25"/>
        <v>70</v>
      </c>
      <c r="I784" s="1">
        <f>IF(COUNTIF('Transaction Data'!A:A,A784)&gt;5,20,0)+IF(COUNTIFS('Transaction Data'!A:A,A784,'Transaction Data'!G:G,"Yes")&gt;2,30,0)</f>
        <v>0</v>
      </c>
      <c r="J784">
        <f>'Client Master Data'!I784+'Client Master Data'!J784+H784+I784</f>
        <v>70</v>
      </c>
    </row>
    <row r="785" spans="1:10">
      <c r="A785">
        <v>1548</v>
      </c>
      <c r="B785" t="s">
        <v>1551</v>
      </c>
      <c r="C785" t="s">
        <v>629</v>
      </c>
      <c r="D785">
        <v>241441</v>
      </c>
      <c r="E785" t="s">
        <v>593</v>
      </c>
      <c r="F785" t="s">
        <v>11</v>
      </c>
      <c r="G785" t="str">
        <f t="shared" si="24"/>
        <v>Yes</v>
      </c>
      <c r="H785">
        <f t="shared" si="25"/>
        <v>70</v>
      </c>
      <c r="I785" s="1">
        <f>IF(COUNTIF('Transaction Data'!A:A,A785)&gt;5,20,0)+IF(COUNTIFS('Transaction Data'!A:A,A785,'Transaction Data'!G:G,"Yes")&gt;2,30,0)</f>
        <v>50</v>
      </c>
      <c r="J785">
        <f>'Client Master Data'!I785+'Client Master Data'!J785+H785+I785</f>
        <v>120</v>
      </c>
    </row>
    <row r="786" spans="1:10">
      <c r="A786">
        <v>1017</v>
      </c>
      <c r="B786" t="s">
        <v>1552</v>
      </c>
      <c r="C786" t="s">
        <v>910</v>
      </c>
      <c r="D786">
        <v>1229</v>
      </c>
      <c r="E786" t="s">
        <v>600</v>
      </c>
      <c r="F786" t="s">
        <v>54</v>
      </c>
      <c r="G786" t="str">
        <f t="shared" si="24"/>
        <v>Yes</v>
      </c>
      <c r="H786">
        <f t="shared" si="25"/>
        <v>40</v>
      </c>
      <c r="I786" s="1">
        <f>IF(COUNTIF('Transaction Data'!A:A,A786)&gt;5,20,0)+IF(COUNTIFS('Transaction Data'!A:A,A786,'Transaction Data'!G:G,"Yes")&gt;2,30,0)</f>
        <v>0</v>
      </c>
      <c r="J786">
        <f>'Client Master Data'!I786+'Client Master Data'!J786+H786+I786</f>
        <v>40</v>
      </c>
    </row>
    <row r="787" spans="1:10">
      <c r="A787">
        <v>1516</v>
      </c>
      <c r="B787" t="s">
        <v>1553</v>
      </c>
      <c r="C787" t="s">
        <v>1242</v>
      </c>
      <c r="D787">
        <v>417369</v>
      </c>
      <c r="E787" t="s">
        <v>593</v>
      </c>
      <c r="F787" t="s">
        <v>17</v>
      </c>
      <c r="G787" t="str">
        <f t="shared" si="24"/>
        <v>Yes</v>
      </c>
      <c r="H787">
        <f t="shared" si="25"/>
        <v>70</v>
      </c>
      <c r="I787" s="1">
        <f>IF(COUNTIF('Transaction Data'!A:A,A787)&gt;5,20,0)+IF(COUNTIFS('Transaction Data'!A:A,A787,'Transaction Data'!G:G,"Yes")&gt;2,30,0)</f>
        <v>30</v>
      </c>
      <c r="J787">
        <f>'Client Master Data'!I787+'Client Master Data'!J787+H787+I787</f>
        <v>100</v>
      </c>
    </row>
    <row r="788" spans="1:10">
      <c r="A788">
        <v>1166</v>
      </c>
      <c r="B788" t="s">
        <v>1554</v>
      </c>
      <c r="C788" t="s">
        <v>1031</v>
      </c>
      <c r="D788">
        <v>402115</v>
      </c>
      <c r="E788" t="s">
        <v>600</v>
      </c>
      <c r="F788" t="s">
        <v>17</v>
      </c>
      <c r="G788" t="str">
        <f t="shared" si="24"/>
        <v>Yes</v>
      </c>
      <c r="H788">
        <f t="shared" si="25"/>
        <v>70</v>
      </c>
      <c r="I788" s="1">
        <f>IF(COUNTIF('Transaction Data'!A:A,A788)&gt;5,20,0)+IF(COUNTIFS('Transaction Data'!A:A,A788,'Transaction Data'!G:G,"Yes")&gt;2,30,0)</f>
        <v>0</v>
      </c>
      <c r="J788">
        <f>'Client Master Data'!I788+'Client Master Data'!J788+H788+I788</f>
        <v>70</v>
      </c>
    </row>
    <row r="789" spans="1:10">
      <c r="A789">
        <v>1523</v>
      </c>
      <c r="B789" t="s">
        <v>1555</v>
      </c>
      <c r="C789" t="s">
        <v>902</v>
      </c>
      <c r="D789">
        <v>159294</v>
      </c>
      <c r="E789" t="s">
        <v>600</v>
      </c>
      <c r="F789" t="s">
        <v>27</v>
      </c>
      <c r="G789" t="str">
        <f t="shared" si="24"/>
        <v>Yes</v>
      </c>
      <c r="H789">
        <f t="shared" si="25"/>
        <v>70</v>
      </c>
      <c r="I789" s="1">
        <f>IF(COUNTIF('Transaction Data'!A:A,A789)&gt;5,20,0)+IF(COUNTIFS('Transaction Data'!A:A,A789,'Transaction Data'!G:G,"Yes")&gt;2,30,0)</f>
        <v>0</v>
      </c>
      <c r="J789">
        <f>'Client Master Data'!I789+'Client Master Data'!J789+H789+I789</f>
        <v>70</v>
      </c>
    </row>
    <row r="790" spans="1:10">
      <c r="A790">
        <v>1220</v>
      </c>
      <c r="B790" t="s">
        <v>1556</v>
      </c>
      <c r="C790" t="s">
        <v>861</v>
      </c>
      <c r="D790">
        <v>221324</v>
      </c>
      <c r="E790" t="s">
        <v>588</v>
      </c>
      <c r="F790" t="s">
        <v>23</v>
      </c>
      <c r="G790" t="str">
        <f t="shared" si="24"/>
        <v>Yes</v>
      </c>
      <c r="H790">
        <f t="shared" si="25"/>
        <v>70</v>
      </c>
      <c r="I790" s="1">
        <f>IF(COUNTIF('Transaction Data'!A:A,A790)&gt;5,20,0)+IF(COUNTIFS('Transaction Data'!A:A,A790,'Transaction Data'!G:G,"Yes")&gt;2,30,0)</f>
        <v>0</v>
      </c>
      <c r="J790">
        <f>'Client Master Data'!I790+'Client Master Data'!J790+H790+I790</f>
        <v>70</v>
      </c>
    </row>
    <row r="791" spans="1:10">
      <c r="A791">
        <v>1171</v>
      </c>
      <c r="B791" t="s">
        <v>1557</v>
      </c>
      <c r="C791" t="s">
        <v>958</v>
      </c>
      <c r="D791">
        <v>247584</v>
      </c>
      <c r="E791" t="s">
        <v>593</v>
      </c>
      <c r="F791" t="s">
        <v>23</v>
      </c>
      <c r="G791" t="str">
        <f t="shared" si="24"/>
        <v>Yes</v>
      </c>
      <c r="H791">
        <f t="shared" si="25"/>
        <v>70</v>
      </c>
      <c r="I791" s="1">
        <f>IF(COUNTIF('Transaction Data'!A:A,A791)&gt;5,20,0)+IF(COUNTIFS('Transaction Data'!A:A,A791,'Transaction Data'!G:G,"Yes")&gt;2,30,0)</f>
        <v>30</v>
      </c>
      <c r="J791">
        <f>'Client Master Data'!I791+'Client Master Data'!J791+H791+I791</f>
        <v>100</v>
      </c>
    </row>
    <row r="792" spans="1:10">
      <c r="A792">
        <v>1206</v>
      </c>
      <c r="B792" t="s">
        <v>1558</v>
      </c>
      <c r="C792" t="s">
        <v>740</v>
      </c>
      <c r="D792">
        <v>119332</v>
      </c>
      <c r="E792" t="s">
        <v>593</v>
      </c>
      <c r="F792" t="s">
        <v>23</v>
      </c>
      <c r="G792" t="str">
        <f t="shared" si="24"/>
        <v>Yes</v>
      </c>
      <c r="H792">
        <f t="shared" si="25"/>
        <v>70</v>
      </c>
      <c r="I792" s="1">
        <f>IF(COUNTIF('Transaction Data'!A:A,A792)&gt;5,20,0)+IF(COUNTIFS('Transaction Data'!A:A,A792,'Transaction Data'!G:G,"Yes")&gt;2,30,0)</f>
        <v>0</v>
      </c>
      <c r="J792">
        <f>'Client Master Data'!I792+'Client Master Data'!J792+H792+I792</f>
        <v>70</v>
      </c>
    </row>
    <row r="793" spans="1:10">
      <c r="A793">
        <v>1359</v>
      </c>
      <c r="B793" t="s">
        <v>1559</v>
      </c>
      <c r="C793" t="s">
        <v>795</v>
      </c>
      <c r="D793">
        <v>265543</v>
      </c>
      <c r="E793" t="s">
        <v>593</v>
      </c>
      <c r="F793" t="s">
        <v>23</v>
      </c>
      <c r="G793" t="str">
        <f t="shared" si="24"/>
        <v>Yes</v>
      </c>
      <c r="H793">
        <f t="shared" si="25"/>
        <v>70</v>
      </c>
      <c r="I793" s="1">
        <f>IF(COUNTIF('Transaction Data'!A:A,A793)&gt;5,20,0)+IF(COUNTIFS('Transaction Data'!A:A,A793,'Transaction Data'!G:G,"Yes")&gt;2,30,0)</f>
        <v>0</v>
      </c>
      <c r="J793">
        <f>'Client Master Data'!I793+'Client Master Data'!J793+H793+I793</f>
        <v>70</v>
      </c>
    </row>
    <row r="794" spans="1:10">
      <c r="A794">
        <v>1497</v>
      </c>
      <c r="B794" t="s">
        <v>1560</v>
      </c>
      <c r="C794" t="s">
        <v>1033</v>
      </c>
      <c r="D794">
        <v>281979</v>
      </c>
      <c r="E794" t="s">
        <v>588</v>
      </c>
      <c r="F794" t="s">
        <v>27</v>
      </c>
      <c r="G794" t="str">
        <f t="shared" si="24"/>
        <v>Yes</v>
      </c>
      <c r="H794">
        <f t="shared" si="25"/>
        <v>70</v>
      </c>
      <c r="I794" s="1">
        <f>IF(COUNTIF('Transaction Data'!A:A,A794)&gt;5,20,0)+IF(COUNTIFS('Transaction Data'!A:A,A794,'Transaction Data'!G:G,"Yes")&gt;2,30,0)</f>
        <v>30</v>
      </c>
      <c r="J794">
        <f>'Client Master Data'!I794+'Client Master Data'!J794+H794+I794</f>
        <v>100</v>
      </c>
    </row>
    <row r="795" spans="1:10">
      <c r="A795">
        <v>1056</v>
      </c>
      <c r="B795" t="s">
        <v>1561</v>
      </c>
      <c r="C795" t="s">
        <v>597</v>
      </c>
      <c r="D795">
        <v>50016</v>
      </c>
      <c r="E795" t="s">
        <v>600</v>
      </c>
      <c r="F795" t="s">
        <v>11</v>
      </c>
      <c r="G795" t="str">
        <f t="shared" si="24"/>
        <v>No</v>
      </c>
      <c r="H795">
        <f t="shared" si="25"/>
        <v>0</v>
      </c>
      <c r="I795" s="1">
        <f>IF(COUNTIF('Transaction Data'!A:A,A795)&gt;5,20,0)+IF(COUNTIFS('Transaction Data'!A:A,A795,'Transaction Data'!G:G,"Yes")&gt;2,30,0)</f>
        <v>0</v>
      </c>
      <c r="J795">
        <f>'Client Master Data'!I795+'Client Master Data'!J795+H795+I795</f>
        <v>0</v>
      </c>
    </row>
    <row r="796" spans="1:10">
      <c r="A796">
        <v>1028</v>
      </c>
      <c r="B796" t="s">
        <v>1562</v>
      </c>
      <c r="C796" t="s">
        <v>958</v>
      </c>
      <c r="D796">
        <v>40321</v>
      </c>
      <c r="E796" t="s">
        <v>600</v>
      </c>
      <c r="F796" t="s">
        <v>27</v>
      </c>
      <c r="G796" t="str">
        <f t="shared" si="24"/>
        <v>No</v>
      </c>
      <c r="H796">
        <f t="shared" si="25"/>
        <v>0</v>
      </c>
      <c r="I796" s="1">
        <f>IF(COUNTIF('Transaction Data'!A:A,A796)&gt;5,20,0)+IF(COUNTIFS('Transaction Data'!A:A,A796,'Transaction Data'!G:G,"Yes")&gt;2,30,0)</f>
        <v>0</v>
      </c>
      <c r="J796">
        <f>'Client Master Data'!I796+'Client Master Data'!J796+H796+I796</f>
        <v>0</v>
      </c>
    </row>
    <row r="797" spans="1:10">
      <c r="A797">
        <v>1269</v>
      </c>
      <c r="B797" t="s">
        <v>1563</v>
      </c>
      <c r="C797" t="s">
        <v>762</v>
      </c>
      <c r="D797">
        <v>319872</v>
      </c>
      <c r="E797" t="s">
        <v>593</v>
      </c>
      <c r="F797" t="s">
        <v>27</v>
      </c>
      <c r="G797" t="str">
        <f t="shared" si="24"/>
        <v>Yes</v>
      </c>
      <c r="H797">
        <f t="shared" si="25"/>
        <v>70</v>
      </c>
      <c r="I797" s="1">
        <f>IF(COUNTIF('Transaction Data'!A:A,A797)&gt;5,20,0)+IF(COUNTIFS('Transaction Data'!A:A,A797,'Transaction Data'!G:G,"Yes")&gt;2,30,0)</f>
        <v>0</v>
      </c>
      <c r="J797">
        <f>'Client Master Data'!I797+'Client Master Data'!J797+H797+I797</f>
        <v>70</v>
      </c>
    </row>
    <row r="798" spans="1:10">
      <c r="A798">
        <v>1187</v>
      </c>
      <c r="B798" t="s">
        <v>1564</v>
      </c>
      <c r="C798" t="s">
        <v>1025</v>
      </c>
      <c r="D798">
        <v>226854</v>
      </c>
      <c r="E798" t="s">
        <v>600</v>
      </c>
      <c r="F798" t="s">
        <v>11</v>
      </c>
      <c r="G798" t="str">
        <f t="shared" si="24"/>
        <v>Yes</v>
      </c>
      <c r="H798">
        <f t="shared" si="25"/>
        <v>70</v>
      </c>
      <c r="I798" s="1">
        <f>IF(COUNTIF('Transaction Data'!A:A,A798)&gt;5,20,0)+IF(COUNTIFS('Transaction Data'!A:A,A798,'Transaction Data'!G:G,"Yes")&gt;2,30,0)</f>
        <v>0</v>
      </c>
      <c r="J798">
        <f>'Client Master Data'!I798+'Client Master Data'!J798+H798+I798</f>
        <v>70</v>
      </c>
    </row>
    <row r="799" spans="1:10">
      <c r="A799">
        <v>1029</v>
      </c>
      <c r="B799" t="s">
        <v>1565</v>
      </c>
      <c r="C799" t="s">
        <v>700</v>
      </c>
      <c r="D799">
        <v>374496</v>
      </c>
      <c r="E799" t="s">
        <v>588</v>
      </c>
      <c r="F799" t="s">
        <v>27</v>
      </c>
      <c r="G799" t="str">
        <f t="shared" si="24"/>
        <v>Yes</v>
      </c>
      <c r="H799">
        <f t="shared" si="25"/>
        <v>70</v>
      </c>
      <c r="I799" s="1">
        <f>IF(COUNTIF('Transaction Data'!A:A,A799)&gt;5,20,0)+IF(COUNTIFS('Transaction Data'!A:A,A799,'Transaction Data'!G:G,"Yes")&gt;2,30,0)</f>
        <v>0</v>
      </c>
      <c r="J799">
        <f>'Client Master Data'!I799+'Client Master Data'!J799+H799+I799</f>
        <v>70</v>
      </c>
    </row>
    <row r="800" spans="1:10">
      <c r="A800">
        <v>1165</v>
      </c>
      <c r="B800" t="s">
        <v>1566</v>
      </c>
      <c r="C800" t="s">
        <v>1224</v>
      </c>
      <c r="D800">
        <v>433655</v>
      </c>
      <c r="E800" t="s">
        <v>588</v>
      </c>
      <c r="F800" t="s">
        <v>11</v>
      </c>
      <c r="G800" t="str">
        <f t="shared" si="24"/>
        <v>Yes</v>
      </c>
      <c r="H800">
        <f t="shared" si="25"/>
        <v>70</v>
      </c>
      <c r="I800" s="1">
        <f>IF(COUNTIF('Transaction Data'!A:A,A800)&gt;5,20,0)+IF(COUNTIFS('Transaction Data'!A:A,A800,'Transaction Data'!G:G,"Yes")&gt;2,30,0)</f>
        <v>30</v>
      </c>
      <c r="J800">
        <f>'Client Master Data'!I800+'Client Master Data'!J800+H800+I800</f>
        <v>100</v>
      </c>
    </row>
    <row r="801" spans="1:10">
      <c r="A801">
        <v>1473</v>
      </c>
      <c r="B801" t="s">
        <v>1567</v>
      </c>
      <c r="C801" t="s">
        <v>1033</v>
      </c>
      <c r="D801">
        <v>227686</v>
      </c>
      <c r="E801" t="s">
        <v>588</v>
      </c>
      <c r="F801" t="s">
        <v>27</v>
      </c>
      <c r="G801" t="str">
        <f t="shared" si="24"/>
        <v>Yes</v>
      </c>
      <c r="H801">
        <f t="shared" si="25"/>
        <v>70</v>
      </c>
      <c r="I801" s="1">
        <f>IF(COUNTIF('Transaction Data'!A:A,A801)&gt;5,20,0)+IF(COUNTIFS('Transaction Data'!A:A,A801,'Transaction Data'!G:G,"Yes")&gt;2,30,0)</f>
        <v>0</v>
      </c>
      <c r="J801">
        <f>'Client Master Data'!I801+'Client Master Data'!J801+H801+I801</f>
        <v>70</v>
      </c>
    </row>
    <row r="802" spans="1:10">
      <c r="A802">
        <v>1185</v>
      </c>
      <c r="B802" t="s">
        <v>1568</v>
      </c>
      <c r="C802" t="s">
        <v>660</v>
      </c>
      <c r="D802">
        <v>465984</v>
      </c>
      <c r="E802" t="s">
        <v>600</v>
      </c>
      <c r="F802" t="s">
        <v>54</v>
      </c>
      <c r="G802" t="str">
        <f t="shared" si="24"/>
        <v>Yes</v>
      </c>
      <c r="H802">
        <f t="shared" si="25"/>
        <v>70</v>
      </c>
      <c r="I802" s="1">
        <f>IF(COUNTIF('Transaction Data'!A:A,A802)&gt;5,20,0)+IF(COUNTIFS('Transaction Data'!A:A,A802,'Transaction Data'!G:G,"Yes")&gt;2,30,0)</f>
        <v>30</v>
      </c>
      <c r="J802">
        <f>'Client Master Data'!I802+'Client Master Data'!J802+H802+I802</f>
        <v>100</v>
      </c>
    </row>
    <row r="803" spans="1:10">
      <c r="A803">
        <v>1519</v>
      </c>
      <c r="B803" t="s">
        <v>1569</v>
      </c>
      <c r="C803" t="s">
        <v>627</v>
      </c>
      <c r="D803">
        <v>464275</v>
      </c>
      <c r="E803" t="s">
        <v>600</v>
      </c>
      <c r="F803" t="s">
        <v>17</v>
      </c>
      <c r="G803" t="str">
        <f t="shared" si="24"/>
        <v>Yes</v>
      </c>
      <c r="H803">
        <f t="shared" si="25"/>
        <v>70</v>
      </c>
      <c r="I803" s="1">
        <f>IF(COUNTIF('Transaction Data'!A:A,A803)&gt;5,20,0)+IF(COUNTIFS('Transaction Data'!A:A,A803,'Transaction Data'!G:G,"Yes")&gt;2,30,0)</f>
        <v>0</v>
      </c>
      <c r="J803">
        <f>'Client Master Data'!I803+'Client Master Data'!J803+H803+I803</f>
        <v>70</v>
      </c>
    </row>
    <row r="804" spans="1:10">
      <c r="A804">
        <v>1239</v>
      </c>
      <c r="B804" t="s">
        <v>1570</v>
      </c>
      <c r="C804" t="s">
        <v>1242</v>
      </c>
      <c r="D804">
        <v>371756</v>
      </c>
      <c r="E804" t="s">
        <v>593</v>
      </c>
      <c r="F804" t="s">
        <v>39</v>
      </c>
      <c r="G804" t="str">
        <f t="shared" si="24"/>
        <v>Yes</v>
      </c>
      <c r="H804">
        <f t="shared" si="25"/>
        <v>70</v>
      </c>
      <c r="I804" s="1">
        <f>IF(COUNTIF('Transaction Data'!A:A,A804)&gt;5,20,0)+IF(COUNTIFS('Transaction Data'!A:A,A804,'Transaction Data'!G:G,"Yes")&gt;2,30,0)</f>
        <v>0</v>
      </c>
      <c r="J804">
        <f>'Client Master Data'!I804+'Client Master Data'!J804+H804+I804</f>
        <v>70</v>
      </c>
    </row>
    <row r="805" spans="1:10">
      <c r="A805">
        <v>1273</v>
      </c>
      <c r="B805" t="s">
        <v>1571</v>
      </c>
      <c r="C805" t="s">
        <v>984</v>
      </c>
      <c r="D805">
        <v>137583</v>
      </c>
      <c r="E805" t="s">
        <v>593</v>
      </c>
      <c r="F805" t="s">
        <v>39</v>
      </c>
      <c r="G805" t="str">
        <f t="shared" si="24"/>
        <v>Yes</v>
      </c>
      <c r="H805">
        <f t="shared" si="25"/>
        <v>70</v>
      </c>
      <c r="I805" s="1">
        <f>IF(COUNTIF('Transaction Data'!A:A,A805)&gt;5,20,0)+IF(COUNTIFS('Transaction Data'!A:A,A805,'Transaction Data'!G:G,"Yes")&gt;2,30,0)</f>
        <v>0</v>
      </c>
      <c r="J805">
        <f>'Client Master Data'!I805+'Client Master Data'!J805+H805+I805</f>
        <v>70</v>
      </c>
    </row>
    <row r="806" spans="1:10">
      <c r="A806">
        <v>1171</v>
      </c>
      <c r="B806" t="s">
        <v>1572</v>
      </c>
      <c r="C806" t="s">
        <v>847</v>
      </c>
      <c r="D806">
        <v>297629</v>
      </c>
      <c r="E806" t="s">
        <v>593</v>
      </c>
      <c r="F806" t="s">
        <v>17</v>
      </c>
      <c r="G806" t="str">
        <f t="shared" si="24"/>
        <v>Yes</v>
      </c>
      <c r="H806">
        <f t="shared" si="25"/>
        <v>70</v>
      </c>
      <c r="I806" s="1">
        <f>IF(COUNTIF('Transaction Data'!A:A,A806)&gt;5,20,0)+IF(COUNTIFS('Transaction Data'!A:A,A806,'Transaction Data'!G:G,"Yes")&gt;2,30,0)</f>
        <v>30</v>
      </c>
      <c r="J806">
        <f>'Client Master Data'!I806+'Client Master Data'!J806+H806+I806</f>
        <v>100</v>
      </c>
    </row>
    <row r="807" spans="1:10">
      <c r="A807">
        <v>1165</v>
      </c>
      <c r="B807" t="s">
        <v>1573</v>
      </c>
      <c r="C807" t="s">
        <v>690</v>
      </c>
      <c r="D807">
        <v>23372</v>
      </c>
      <c r="E807" t="s">
        <v>600</v>
      </c>
      <c r="F807" t="s">
        <v>23</v>
      </c>
      <c r="G807" t="str">
        <f t="shared" si="24"/>
        <v>No</v>
      </c>
      <c r="H807">
        <f t="shared" si="25"/>
        <v>0</v>
      </c>
      <c r="I807" s="1">
        <f>IF(COUNTIF('Transaction Data'!A:A,A807)&gt;5,20,0)+IF(COUNTIFS('Transaction Data'!A:A,A807,'Transaction Data'!G:G,"Yes")&gt;2,30,0)</f>
        <v>30</v>
      </c>
      <c r="J807">
        <f>'Client Master Data'!I807+'Client Master Data'!J807+H807+I807</f>
        <v>30</v>
      </c>
    </row>
    <row r="808" spans="1:10">
      <c r="A808">
        <v>1320</v>
      </c>
      <c r="B808" t="s">
        <v>1574</v>
      </c>
      <c r="C808" t="s">
        <v>604</v>
      </c>
      <c r="D808">
        <v>252773</v>
      </c>
      <c r="E808" t="s">
        <v>593</v>
      </c>
      <c r="F808" t="s">
        <v>17</v>
      </c>
      <c r="G808" t="str">
        <f t="shared" si="24"/>
        <v>Yes</v>
      </c>
      <c r="H808">
        <f t="shared" si="25"/>
        <v>70</v>
      </c>
      <c r="I808" s="1">
        <f>IF(COUNTIF('Transaction Data'!A:A,A808)&gt;5,20,0)+IF(COUNTIFS('Transaction Data'!A:A,A808,'Transaction Data'!G:G,"Yes")&gt;2,30,0)</f>
        <v>30</v>
      </c>
      <c r="J808">
        <f>'Client Master Data'!I808+'Client Master Data'!J808+H808+I808</f>
        <v>100</v>
      </c>
    </row>
    <row r="809" spans="1:10">
      <c r="A809">
        <v>1334</v>
      </c>
      <c r="B809" t="s">
        <v>1575</v>
      </c>
      <c r="C809" t="s">
        <v>736</v>
      </c>
      <c r="D809">
        <v>132745</v>
      </c>
      <c r="E809" t="s">
        <v>600</v>
      </c>
      <c r="F809" t="s">
        <v>23</v>
      </c>
      <c r="G809" t="str">
        <f t="shared" si="24"/>
        <v>Yes</v>
      </c>
      <c r="H809">
        <f t="shared" si="25"/>
        <v>70</v>
      </c>
      <c r="I809" s="1">
        <f>IF(COUNTIF('Transaction Data'!A:A,A809)&gt;5,20,0)+IF(COUNTIFS('Transaction Data'!A:A,A809,'Transaction Data'!G:G,"Yes")&gt;2,30,0)</f>
        <v>0</v>
      </c>
      <c r="J809">
        <f>'Client Master Data'!I809+'Client Master Data'!J809+H809+I809</f>
        <v>70</v>
      </c>
    </row>
    <row r="810" spans="1:10">
      <c r="A810">
        <v>1478</v>
      </c>
      <c r="B810" t="s">
        <v>1576</v>
      </c>
      <c r="C810" t="s">
        <v>1370</v>
      </c>
      <c r="D810">
        <v>106041</v>
      </c>
      <c r="E810" t="s">
        <v>600</v>
      </c>
      <c r="F810" t="s">
        <v>17</v>
      </c>
      <c r="G810" t="str">
        <f t="shared" si="24"/>
        <v>Yes</v>
      </c>
      <c r="H810">
        <f t="shared" si="25"/>
        <v>70</v>
      </c>
      <c r="I810" s="1">
        <f>IF(COUNTIF('Transaction Data'!A:A,A810)&gt;5,20,0)+IF(COUNTIFS('Transaction Data'!A:A,A810,'Transaction Data'!G:G,"Yes")&gt;2,30,0)</f>
        <v>0</v>
      </c>
      <c r="J810">
        <f>'Client Master Data'!I810+'Client Master Data'!J810+H810+I810</f>
        <v>70</v>
      </c>
    </row>
    <row r="811" spans="1:10">
      <c r="A811">
        <v>1045</v>
      </c>
      <c r="B811" t="s">
        <v>1577</v>
      </c>
      <c r="C811" t="s">
        <v>1179</v>
      </c>
      <c r="D811">
        <v>223239</v>
      </c>
      <c r="E811" t="s">
        <v>588</v>
      </c>
      <c r="F811" t="s">
        <v>23</v>
      </c>
      <c r="G811" t="str">
        <f t="shared" si="24"/>
        <v>Yes</v>
      </c>
      <c r="H811">
        <f t="shared" si="25"/>
        <v>70</v>
      </c>
      <c r="I811" s="1">
        <f>IF(COUNTIF('Transaction Data'!A:A,A811)&gt;5,20,0)+IF(COUNTIFS('Transaction Data'!A:A,A811,'Transaction Data'!G:G,"Yes")&gt;2,30,0)</f>
        <v>0</v>
      </c>
      <c r="J811">
        <f>'Client Master Data'!I811+'Client Master Data'!J811+H811+I811</f>
        <v>70</v>
      </c>
    </row>
    <row r="812" spans="1:10">
      <c r="A812">
        <v>1477</v>
      </c>
      <c r="B812" t="s">
        <v>1578</v>
      </c>
      <c r="C812" t="s">
        <v>946</v>
      </c>
      <c r="D812">
        <v>24125</v>
      </c>
      <c r="E812" t="s">
        <v>593</v>
      </c>
      <c r="F812" t="s">
        <v>27</v>
      </c>
      <c r="G812" t="str">
        <f t="shared" si="24"/>
        <v>No</v>
      </c>
      <c r="H812">
        <f t="shared" si="25"/>
        <v>0</v>
      </c>
      <c r="I812" s="1">
        <f>IF(COUNTIF('Transaction Data'!A:A,A812)&gt;5,20,0)+IF(COUNTIFS('Transaction Data'!A:A,A812,'Transaction Data'!G:G,"Yes")&gt;2,30,0)</f>
        <v>0</v>
      </c>
      <c r="J812">
        <f>'Client Master Data'!I812+'Client Master Data'!J812+H812+I812</f>
        <v>0</v>
      </c>
    </row>
    <row r="813" spans="1:10">
      <c r="A813">
        <v>1312</v>
      </c>
      <c r="B813" t="s">
        <v>1579</v>
      </c>
      <c r="C813" t="s">
        <v>1028</v>
      </c>
      <c r="D813">
        <v>465157</v>
      </c>
      <c r="E813" t="s">
        <v>600</v>
      </c>
      <c r="F813" t="s">
        <v>11</v>
      </c>
      <c r="G813" t="str">
        <f t="shared" si="24"/>
        <v>Yes</v>
      </c>
      <c r="H813">
        <f t="shared" si="25"/>
        <v>70</v>
      </c>
      <c r="I813" s="1">
        <f>IF(COUNTIF('Transaction Data'!A:A,A813)&gt;5,20,0)+IF(COUNTIFS('Transaction Data'!A:A,A813,'Transaction Data'!G:G,"Yes")&gt;2,30,0)</f>
        <v>0</v>
      </c>
      <c r="J813">
        <f>'Client Master Data'!I813+'Client Master Data'!J813+H813+I813</f>
        <v>70</v>
      </c>
    </row>
    <row r="814" spans="1:10">
      <c r="A814">
        <v>1120</v>
      </c>
      <c r="B814" t="s">
        <v>1580</v>
      </c>
      <c r="C814" t="s">
        <v>953</v>
      </c>
      <c r="D814">
        <v>78677</v>
      </c>
      <c r="E814" t="s">
        <v>593</v>
      </c>
      <c r="F814" t="s">
        <v>17</v>
      </c>
      <c r="G814" t="str">
        <f t="shared" si="24"/>
        <v>Yes</v>
      </c>
      <c r="H814">
        <f t="shared" si="25"/>
        <v>40</v>
      </c>
      <c r="I814" s="1">
        <f>IF(COUNTIF('Transaction Data'!A:A,A814)&gt;5,20,0)+IF(COUNTIFS('Transaction Data'!A:A,A814,'Transaction Data'!G:G,"Yes")&gt;2,30,0)</f>
        <v>30</v>
      </c>
      <c r="J814">
        <f>'Client Master Data'!I814+'Client Master Data'!J814+H814+I814</f>
        <v>70</v>
      </c>
    </row>
    <row r="815" spans="1:10">
      <c r="A815">
        <v>1156</v>
      </c>
      <c r="B815" t="s">
        <v>1581</v>
      </c>
      <c r="C815" t="s">
        <v>631</v>
      </c>
      <c r="D815">
        <v>296740</v>
      </c>
      <c r="E815" t="s">
        <v>600</v>
      </c>
      <c r="F815" t="s">
        <v>17</v>
      </c>
      <c r="G815" t="str">
        <f t="shared" si="24"/>
        <v>Yes</v>
      </c>
      <c r="H815">
        <f t="shared" si="25"/>
        <v>70</v>
      </c>
      <c r="I815" s="1">
        <f>IF(COUNTIF('Transaction Data'!A:A,A815)&gt;5,20,0)+IF(COUNTIFS('Transaction Data'!A:A,A815,'Transaction Data'!G:G,"Yes")&gt;2,30,0)</f>
        <v>30</v>
      </c>
      <c r="J815">
        <f>'Client Master Data'!I815+'Client Master Data'!J815+H815+I815</f>
        <v>100</v>
      </c>
    </row>
    <row r="816" spans="1:10">
      <c r="A816">
        <v>1503</v>
      </c>
      <c r="B816" t="s">
        <v>1582</v>
      </c>
      <c r="C816" t="s">
        <v>798</v>
      </c>
      <c r="D816">
        <v>150018</v>
      </c>
      <c r="E816" t="s">
        <v>600</v>
      </c>
      <c r="F816" t="s">
        <v>27</v>
      </c>
      <c r="G816" t="str">
        <f t="shared" si="24"/>
        <v>Yes</v>
      </c>
      <c r="H816">
        <f t="shared" si="25"/>
        <v>70</v>
      </c>
      <c r="I816" s="1">
        <f>IF(COUNTIF('Transaction Data'!A:A,A816)&gt;5,20,0)+IF(COUNTIFS('Transaction Data'!A:A,A816,'Transaction Data'!G:G,"Yes")&gt;2,30,0)</f>
        <v>0</v>
      </c>
      <c r="J816">
        <f>'Client Master Data'!I816+'Client Master Data'!J816+H816+I816</f>
        <v>70</v>
      </c>
    </row>
    <row r="817" spans="1:10">
      <c r="A817">
        <v>1014</v>
      </c>
      <c r="B817" t="s">
        <v>1583</v>
      </c>
      <c r="C817" t="s">
        <v>924</v>
      </c>
      <c r="D817">
        <v>322875</v>
      </c>
      <c r="E817" t="s">
        <v>600</v>
      </c>
      <c r="F817" t="s">
        <v>54</v>
      </c>
      <c r="G817" t="str">
        <f t="shared" si="24"/>
        <v>Yes</v>
      </c>
      <c r="H817">
        <f t="shared" si="25"/>
        <v>70</v>
      </c>
      <c r="I817" s="1">
        <f>IF(COUNTIF('Transaction Data'!A:A,A817)&gt;5,20,0)+IF(COUNTIFS('Transaction Data'!A:A,A817,'Transaction Data'!G:G,"Yes")&gt;2,30,0)</f>
        <v>0</v>
      </c>
      <c r="J817">
        <f>'Client Master Data'!I817+'Client Master Data'!J817+H817+I817</f>
        <v>70</v>
      </c>
    </row>
    <row r="818" spans="1:10">
      <c r="A818">
        <v>1344</v>
      </c>
      <c r="B818" t="s">
        <v>1584</v>
      </c>
      <c r="C818" t="s">
        <v>703</v>
      </c>
      <c r="D818">
        <v>163931</v>
      </c>
      <c r="E818" t="s">
        <v>588</v>
      </c>
      <c r="F818" t="s">
        <v>39</v>
      </c>
      <c r="G818" t="str">
        <f t="shared" si="24"/>
        <v>Yes</v>
      </c>
      <c r="H818">
        <f t="shared" si="25"/>
        <v>70</v>
      </c>
      <c r="I818" s="1">
        <f>IF(COUNTIF('Transaction Data'!A:A,A818)&gt;5,20,0)+IF(COUNTIFS('Transaction Data'!A:A,A818,'Transaction Data'!G:G,"Yes")&gt;2,30,0)</f>
        <v>30</v>
      </c>
      <c r="J818">
        <f>'Client Master Data'!I818+'Client Master Data'!J818+H818+I818</f>
        <v>100</v>
      </c>
    </row>
    <row r="819" spans="1:10">
      <c r="A819">
        <v>1303</v>
      </c>
      <c r="B819" t="s">
        <v>1585</v>
      </c>
      <c r="C819" t="s">
        <v>709</v>
      </c>
      <c r="D819">
        <v>417971</v>
      </c>
      <c r="E819" t="s">
        <v>600</v>
      </c>
      <c r="F819" t="s">
        <v>11</v>
      </c>
      <c r="G819" t="str">
        <f t="shared" si="24"/>
        <v>Yes</v>
      </c>
      <c r="H819">
        <f t="shared" si="25"/>
        <v>70</v>
      </c>
      <c r="I819" s="1">
        <f>IF(COUNTIF('Transaction Data'!A:A,A819)&gt;5,20,0)+IF(COUNTIFS('Transaction Data'!A:A,A819,'Transaction Data'!G:G,"Yes")&gt;2,30,0)</f>
        <v>30</v>
      </c>
      <c r="J819">
        <f>'Client Master Data'!I819+'Client Master Data'!J819+H819+I819</f>
        <v>100</v>
      </c>
    </row>
    <row r="820" spans="1:10">
      <c r="A820">
        <v>1018</v>
      </c>
      <c r="B820" t="s">
        <v>1586</v>
      </c>
      <c r="C820" t="s">
        <v>953</v>
      </c>
      <c r="D820">
        <v>135794</v>
      </c>
      <c r="E820" t="s">
        <v>593</v>
      </c>
      <c r="F820" t="s">
        <v>27</v>
      </c>
      <c r="G820" t="str">
        <f t="shared" si="24"/>
        <v>Yes</v>
      </c>
      <c r="H820">
        <f t="shared" si="25"/>
        <v>70</v>
      </c>
      <c r="I820" s="1">
        <f>IF(COUNTIF('Transaction Data'!A:A,A820)&gt;5,20,0)+IF(COUNTIFS('Transaction Data'!A:A,A820,'Transaction Data'!G:G,"Yes")&gt;2,30,0)</f>
        <v>30</v>
      </c>
      <c r="J820">
        <f>'Client Master Data'!I820+'Client Master Data'!J820+H820+I820</f>
        <v>100</v>
      </c>
    </row>
    <row r="821" spans="1:10">
      <c r="A821">
        <v>1470</v>
      </c>
      <c r="B821" t="s">
        <v>1587</v>
      </c>
      <c r="C821" t="s">
        <v>789</v>
      </c>
      <c r="D821">
        <v>466811</v>
      </c>
      <c r="E821" t="s">
        <v>588</v>
      </c>
      <c r="F821" t="s">
        <v>54</v>
      </c>
      <c r="G821" t="str">
        <f t="shared" si="24"/>
        <v>Yes</v>
      </c>
      <c r="H821">
        <f t="shared" si="25"/>
        <v>70</v>
      </c>
      <c r="I821" s="1">
        <f>IF(COUNTIF('Transaction Data'!A:A,A821)&gt;5,20,0)+IF(COUNTIFS('Transaction Data'!A:A,A821,'Transaction Data'!G:G,"Yes")&gt;2,30,0)</f>
        <v>30</v>
      </c>
      <c r="J821">
        <f>'Client Master Data'!I821+'Client Master Data'!J821+H821+I821</f>
        <v>100</v>
      </c>
    </row>
    <row r="822" spans="1:10">
      <c r="A822">
        <v>1319</v>
      </c>
      <c r="B822" t="s">
        <v>1588</v>
      </c>
      <c r="C822" t="s">
        <v>1182</v>
      </c>
      <c r="D822">
        <v>242961</v>
      </c>
      <c r="E822" t="s">
        <v>600</v>
      </c>
      <c r="F822" t="s">
        <v>54</v>
      </c>
      <c r="G822" t="str">
        <f t="shared" si="24"/>
        <v>Yes</v>
      </c>
      <c r="H822">
        <f t="shared" si="25"/>
        <v>70</v>
      </c>
      <c r="I822" s="1">
        <f>IF(COUNTIF('Transaction Data'!A:A,A822)&gt;5,20,0)+IF(COUNTIFS('Transaction Data'!A:A,A822,'Transaction Data'!G:G,"Yes")&gt;2,30,0)</f>
        <v>0</v>
      </c>
      <c r="J822">
        <f>'Client Master Data'!I822+'Client Master Data'!J822+H822+I822</f>
        <v>70</v>
      </c>
    </row>
    <row r="823" spans="1:10">
      <c r="A823">
        <v>1061</v>
      </c>
      <c r="B823" t="s">
        <v>1589</v>
      </c>
      <c r="C823" t="s">
        <v>680</v>
      </c>
      <c r="D823">
        <v>5983</v>
      </c>
      <c r="E823" t="s">
        <v>593</v>
      </c>
      <c r="F823" t="s">
        <v>27</v>
      </c>
      <c r="G823" t="str">
        <f t="shared" si="24"/>
        <v>No</v>
      </c>
      <c r="H823">
        <f t="shared" si="25"/>
        <v>0</v>
      </c>
      <c r="I823" s="1">
        <f>IF(COUNTIF('Transaction Data'!A:A,A823)&gt;5,20,0)+IF(COUNTIFS('Transaction Data'!A:A,A823,'Transaction Data'!G:G,"Yes")&gt;2,30,0)</f>
        <v>30</v>
      </c>
      <c r="J823">
        <f>'Client Master Data'!I823+'Client Master Data'!J823+H823+I823</f>
        <v>30</v>
      </c>
    </row>
    <row r="824" spans="1:10">
      <c r="A824">
        <v>1391</v>
      </c>
      <c r="B824" t="s">
        <v>1590</v>
      </c>
      <c r="C824" t="s">
        <v>973</v>
      </c>
      <c r="D824">
        <v>180329</v>
      </c>
      <c r="E824" t="s">
        <v>593</v>
      </c>
      <c r="F824" t="s">
        <v>23</v>
      </c>
      <c r="G824" t="str">
        <f t="shared" si="24"/>
        <v>Yes</v>
      </c>
      <c r="H824">
        <f t="shared" si="25"/>
        <v>70</v>
      </c>
      <c r="I824" s="1">
        <f>IF(COUNTIF('Transaction Data'!A:A,A824)&gt;5,20,0)+IF(COUNTIFS('Transaction Data'!A:A,A824,'Transaction Data'!G:G,"Yes")&gt;2,30,0)</f>
        <v>30</v>
      </c>
      <c r="J824">
        <f>'Client Master Data'!I824+'Client Master Data'!J824+H824+I824</f>
        <v>100</v>
      </c>
    </row>
    <row r="825" spans="1:10">
      <c r="A825">
        <v>1431</v>
      </c>
      <c r="B825" t="s">
        <v>1591</v>
      </c>
      <c r="C825" t="s">
        <v>1288</v>
      </c>
      <c r="D825">
        <v>24896</v>
      </c>
      <c r="E825" t="s">
        <v>593</v>
      </c>
      <c r="F825" t="s">
        <v>11</v>
      </c>
      <c r="G825" t="str">
        <f t="shared" si="24"/>
        <v>No</v>
      </c>
      <c r="H825">
        <f t="shared" si="25"/>
        <v>0</v>
      </c>
      <c r="I825" s="1">
        <f>IF(COUNTIF('Transaction Data'!A:A,A825)&gt;5,20,0)+IF(COUNTIFS('Transaction Data'!A:A,A825,'Transaction Data'!G:G,"Yes")&gt;2,30,0)</f>
        <v>0</v>
      </c>
      <c r="J825">
        <f>'Client Master Data'!I825+'Client Master Data'!J825+H825+I825</f>
        <v>0</v>
      </c>
    </row>
    <row r="826" spans="1:10">
      <c r="A826">
        <v>1069</v>
      </c>
      <c r="B826" t="s">
        <v>1592</v>
      </c>
      <c r="C826" t="s">
        <v>707</v>
      </c>
      <c r="D826">
        <v>253859</v>
      </c>
      <c r="E826" t="s">
        <v>593</v>
      </c>
      <c r="F826" t="s">
        <v>39</v>
      </c>
      <c r="G826" t="str">
        <f t="shared" si="24"/>
        <v>Yes</v>
      </c>
      <c r="H826">
        <f t="shared" si="25"/>
        <v>70</v>
      </c>
      <c r="I826" s="1">
        <f>IF(COUNTIF('Transaction Data'!A:A,A826)&gt;5,20,0)+IF(COUNTIFS('Transaction Data'!A:A,A826,'Transaction Data'!G:G,"Yes")&gt;2,30,0)</f>
        <v>0</v>
      </c>
      <c r="J826">
        <f>'Client Master Data'!I826+'Client Master Data'!J826+H826+I826</f>
        <v>70</v>
      </c>
    </row>
    <row r="827" spans="1:10">
      <c r="A827">
        <v>1276</v>
      </c>
      <c r="B827" t="s">
        <v>1593</v>
      </c>
      <c r="C827" t="s">
        <v>614</v>
      </c>
      <c r="D827">
        <v>375913</v>
      </c>
      <c r="E827" t="s">
        <v>600</v>
      </c>
      <c r="F827" t="s">
        <v>11</v>
      </c>
      <c r="G827" t="str">
        <f t="shared" si="24"/>
        <v>Yes</v>
      </c>
      <c r="H827">
        <f t="shared" si="25"/>
        <v>70</v>
      </c>
      <c r="I827" s="1">
        <f>IF(COUNTIF('Transaction Data'!A:A,A827)&gt;5,20,0)+IF(COUNTIFS('Transaction Data'!A:A,A827,'Transaction Data'!G:G,"Yes")&gt;2,30,0)</f>
        <v>30</v>
      </c>
      <c r="J827">
        <f>'Client Master Data'!I827+'Client Master Data'!J827+H827+I827</f>
        <v>100</v>
      </c>
    </row>
    <row r="828" spans="1:10">
      <c r="A828">
        <v>1346</v>
      </c>
      <c r="B828" t="s">
        <v>1594</v>
      </c>
      <c r="C828" t="s">
        <v>946</v>
      </c>
      <c r="D828">
        <v>236789</v>
      </c>
      <c r="E828" t="s">
        <v>588</v>
      </c>
      <c r="F828" t="s">
        <v>17</v>
      </c>
      <c r="G828" t="str">
        <f t="shared" si="24"/>
        <v>Yes</v>
      </c>
      <c r="H828">
        <f t="shared" si="25"/>
        <v>70</v>
      </c>
      <c r="I828" s="1">
        <f>IF(COUNTIF('Transaction Data'!A:A,A828)&gt;5,20,0)+IF(COUNTIFS('Transaction Data'!A:A,A828,'Transaction Data'!G:G,"Yes")&gt;2,30,0)</f>
        <v>0</v>
      </c>
      <c r="J828">
        <f>'Client Master Data'!I828+'Client Master Data'!J828+H828+I828</f>
        <v>70</v>
      </c>
    </row>
    <row r="829" spans="1:10">
      <c r="A829">
        <v>1022</v>
      </c>
      <c r="B829" t="s">
        <v>1595</v>
      </c>
      <c r="C829" t="s">
        <v>648</v>
      </c>
      <c r="D829">
        <v>57667</v>
      </c>
      <c r="E829" t="s">
        <v>600</v>
      </c>
      <c r="F829" t="s">
        <v>27</v>
      </c>
      <c r="G829" t="str">
        <f t="shared" si="24"/>
        <v>No</v>
      </c>
      <c r="H829">
        <f t="shared" si="25"/>
        <v>0</v>
      </c>
      <c r="I829" s="1">
        <f>IF(COUNTIF('Transaction Data'!A:A,A829)&gt;5,20,0)+IF(COUNTIFS('Transaction Data'!A:A,A829,'Transaction Data'!G:G,"Yes")&gt;2,30,0)</f>
        <v>0</v>
      </c>
      <c r="J829">
        <f>'Client Master Data'!I829+'Client Master Data'!J829+H829+I829</f>
        <v>0</v>
      </c>
    </row>
    <row r="830" spans="1:10">
      <c r="A830">
        <v>1269</v>
      </c>
      <c r="B830" t="s">
        <v>1596</v>
      </c>
      <c r="C830" t="s">
        <v>851</v>
      </c>
      <c r="D830">
        <v>220934</v>
      </c>
      <c r="E830" t="s">
        <v>588</v>
      </c>
      <c r="F830" t="s">
        <v>54</v>
      </c>
      <c r="G830" t="str">
        <f t="shared" si="24"/>
        <v>Yes</v>
      </c>
      <c r="H830">
        <f t="shared" si="25"/>
        <v>70</v>
      </c>
      <c r="I830" s="1">
        <f>IF(COUNTIF('Transaction Data'!A:A,A830)&gt;5,20,0)+IF(COUNTIFS('Transaction Data'!A:A,A830,'Transaction Data'!G:G,"Yes")&gt;2,30,0)</f>
        <v>0</v>
      </c>
      <c r="J830">
        <f>'Client Master Data'!I830+'Client Master Data'!J830+H830+I830</f>
        <v>70</v>
      </c>
    </row>
    <row r="831" spans="1:10">
      <c r="A831">
        <v>1015</v>
      </c>
      <c r="B831" t="s">
        <v>1597</v>
      </c>
      <c r="C831" t="s">
        <v>1019</v>
      </c>
      <c r="D831">
        <v>273725</v>
      </c>
      <c r="E831" t="s">
        <v>600</v>
      </c>
      <c r="F831" t="s">
        <v>27</v>
      </c>
      <c r="G831" t="str">
        <f t="shared" si="24"/>
        <v>Yes</v>
      </c>
      <c r="H831">
        <f t="shared" si="25"/>
        <v>70</v>
      </c>
      <c r="I831" s="1">
        <f>IF(COUNTIF('Transaction Data'!A:A,A831)&gt;5,20,0)+IF(COUNTIFS('Transaction Data'!A:A,A831,'Transaction Data'!G:G,"Yes")&gt;2,30,0)</f>
        <v>0</v>
      </c>
      <c r="J831">
        <f>'Client Master Data'!I831+'Client Master Data'!J831+H831+I831</f>
        <v>70</v>
      </c>
    </row>
    <row r="832" spans="1:10">
      <c r="A832">
        <v>1347</v>
      </c>
      <c r="B832" t="s">
        <v>1598</v>
      </c>
      <c r="C832" t="s">
        <v>590</v>
      </c>
      <c r="D832">
        <v>191843</v>
      </c>
      <c r="E832" t="s">
        <v>593</v>
      </c>
      <c r="F832" t="s">
        <v>39</v>
      </c>
      <c r="G832" t="str">
        <f t="shared" si="24"/>
        <v>Yes</v>
      </c>
      <c r="H832">
        <f t="shared" si="25"/>
        <v>70</v>
      </c>
      <c r="I832" s="1">
        <f>IF(COUNTIF('Transaction Data'!A:A,A832)&gt;5,20,0)+IF(COUNTIFS('Transaction Data'!A:A,A832,'Transaction Data'!G:G,"Yes")&gt;2,30,0)</f>
        <v>0</v>
      </c>
      <c r="J832">
        <f>'Client Master Data'!I832+'Client Master Data'!J832+H832+I832</f>
        <v>70</v>
      </c>
    </row>
    <row r="833" spans="1:10">
      <c r="A833">
        <v>1340</v>
      </c>
      <c r="B833" t="s">
        <v>1599</v>
      </c>
      <c r="C833" t="s">
        <v>642</v>
      </c>
      <c r="D833">
        <v>218454</v>
      </c>
      <c r="E833" t="s">
        <v>593</v>
      </c>
      <c r="F833" t="s">
        <v>17</v>
      </c>
      <c r="G833" t="str">
        <f t="shared" si="24"/>
        <v>Yes</v>
      </c>
      <c r="H833">
        <f t="shared" si="25"/>
        <v>70</v>
      </c>
      <c r="I833" s="1">
        <f>IF(COUNTIF('Transaction Data'!A:A,A833)&gt;5,20,0)+IF(COUNTIFS('Transaction Data'!A:A,A833,'Transaction Data'!G:G,"Yes")&gt;2,30,0)</f>
        <v>30</v>
      </c>
      <c r="J833">
        <f>'Client Master Data'!I833+'Client Master Data'!J833+H833+I833</f>
        <v>100</v>
      </c>
    </row>
    <row r="834" spans="1:10">
      <c r="A834">
        <v>1289</v>
      </c>
      <c r="B834" t="s">
        <v>1600</v>
      </c>
      <c r="C834" t="s">
        <v>881</v>
      </c>
      <c r="D834">
        <v>180298</v>
      </c>
      <c r="E834" t="s">
        <v>600</v>
      </c>
      <c r="F834" t="s">
        <v>27</v>
      </c>
      <c r="G834" t="str">
        <f t="shared" ref="G834:G897" si="26">IF(OR(D834&gt;100000,F834="UAE",F834="Nigeria"),"Yes","No")</f>
        <v>Yes</v>
      </c>
      <c r="H834">
        <f t="shared" si="25"/>
        <v>70</v>
      </c>
      <c r="I834" s="1">
        <f>IF(COUNTIF('Transaction Data'!A:A,A834)&gt;5,20,0)+IF(COUNTIFS('Transaction Data'!A:A,A834,'Transaction Data'!G:G,"Yes")&gt;2,30,0)</f>
        <v>0</v>
      </c>
      <c r="J834">
        <f>'Client Master Data'!I834+'Client Master Data'!J834+H834+I834</f>
        <v>70</v>
      </c>
    </row>
    <row r="835" spans="1:10">
      <c r="A835">
        <v>1439</v>
      </c>
      <c r="B835" t="s">
        <v>1601</v>
      </c>
      <c r="C835" t="s">
        <v>939</v>
      </c>
      <c r="D835">
        <v>257068</v>
      </c>
      <c r="E835" t="s">
        <v>600</v>
      </c>
      <c r="F835" t="s">
        <v>11</v>
      </c>
      <c r="G835" t="str">
        <f t="shared" si="26"/>
        <v>Yes</v>
      </c>
      <c r="H835">
        <f t="shared" ref="H835:H898" si="27">IF(D835&gt;100000,30,0)+IF(TRIM(LOWER(G835))="yes",40,0)</f>
        <v>70</v>
      </c>
      <c r="I835" s="1">
        <f>IF(COUNTIF('Transaction Data'!A:A,A835)&gt;5,20,0)+IF(COUNTIFS('Transaction Data'!A:A,A835,'Transaction Data'!G:G,"Yes")&gt;2,30,0)</f>
        <v>0</v>
      </c>
      <c r="J835">
        <f>'Client Master Data'!I835+'Client Master Data'!J835+H835+I835</f>
        <v>70</v>
      </c>
    </row>
    <row r="836" spans="1:10">
      <c r="A836">
        <v>1075</v>
      </c>
      <c r="B836" t="s">
        <v>1602</v>
      </c>
      <c r="C836" t="s">
        <v>692</v>
      </c>
      <c r="D836">
        <v>305715</v>
      </c>
      <c r="E836" t="s">
        <v>600</v>
      </c>
      <c r="F836" t="s">
        <v>17</v>
      </c>
      <c r="G836" t="str">
        <f t="shared" si="26"/>
        <v>Yes</v>
      </c>
      <c r="H836">
        <f t="shared" si="27"/>
        <v>70</v>
      </c>
      <c r="I836" s="1">
        <f>IF(COUNTIF('Transaction Data'!A:A,A836)&gt;5,20,0)+IF(COUNTIFS('Transaction Data'!A:A,A836,'Transaction Data'!G:G,"Yes")&gt;2,30,0)</f>
        <v>30</v>
      </c>
      <c r="J836">
        <f>'Client Master Data'!I836+'Client Master Data'!J836+H836+I836</f>
        <v>100</v>
      </c>
    </row>
    <row r="837" spans="1:10">
      <c r="A837">
        <v>1411</v>
      </c>
      <c r="B837" t="s">
        <v>1603</v>
      </c>
      <c r="C837" t="s">
        <v>696</v>
      </c>
      <c r="D837">
        <v>7433</v>
      </c>
      <c r="E837" t="s">
        <v>600</v>
      </c>
      <c r="F837" t="s">
        <v>54</v>
      </c>
      <c r="G837" t="str">
        <f t="shared" si="26"/>
        <v>Yes</v>
      </c>
      <c r="H837">
        <f t="shared" si="27"/>
        <v>40</v>
      </c>
      <c r="I837" s="1">
        <f>IF(COUNTIF('Transaction Data'!A:A,A837)&gt;5,20,0)+IF(COUNTIFS('Transaction Data'!A:A,A837,'Transaction Data'!G:G,"Yes")&gt;2,30,0)</f>
        <v>0</v>
      </c>
      <c r="J837">
        <f>'Client Master Data'!I837+'Client Master Data'!J837+H837+I837</f>
        <v>40</v>
      </c>
    </row>
    <row r="838" spans="1:10">
      <c r="A838">
        <v>1454</v>
      </c>
      <c r="B838" t="s">
        <v>1604</v>
      </c>
      <c r="C838" t="s">
        <v>1053</v>
      </c>
      <c r="D838">
        <v>344795</v>
      </c>
      <c r="E838" t="s">
        <v>588</v>
      </c>
      <c r="F838" t="s">
        <v>17</v>
      </c>
      <c r="G838" t="str">
        <f t="shared" si="26"/>
        <v>Yes</v>
      </c>
      <c r="H838">
        <f t="shared" si="27"/>
        <v>70</v>
      </c>
      <c r="I838" s="1">
        <f>IF(COUNTIF('Transaction Data'!A:A,A838)&gt;5,20,0)+IF(COUNTIFS('Transaction Data'!A:A,A838,'Transaction Data'!G:G,"Yes")&gt;2,30,0)</f>
        <v>30</v>
      </c>
      <c r="J838">
        <f>'Client Master Data'!I838+'Client Master Data'!J838+H838+I838</f>
        <v>100</v>
      </c>
    </row>
    <row r="839" spans="1:10">
      <c r="A839">
        <v>1076</v>
      </c>
      <c r="B839" t="s">
        <v>1605</v>
      </c>
      <c r="C839" t="s">
        <v>937</v>
      </c>
      <c r="D839">
        <v>189833</v>
      </c>
      <c r="E839" t="s">
        <v>593</v>
      </c>
      <c r="F839" t="s">
        <v>11</v>
      </c>
      <c r="G839" t="str">
        <f t="shared" si="26"/>
        <v>Yes</v>
      </c>
      <c r="H839">
        <f t="shared" si="27"/>
        <v>70</v>
      </c>
      <c r="I839" s="1">
        <f>IF(COUNTIF('Transaction Data'!A:A,A839)&gt;5,20,0)+IF(COUNTIFS('Transaction Data'!A:A,A839,'Transaction Data'!G:G,"Yes")&gt;2,30,0)</f>
        <v>30</v>
      </c>
      <c r="J839">
        <f>'Client Master Data'!I839+'Client Master Data'!J839+H839+I839</f>
        <v>100</v>
      </c>
    </row>
    <row r="840" spans="1:10">
      <c r="A840">
        <v>1297</v>
      </c>
      <c r="B840" t="s">
        <v>1606</v>
      </c>
      <c r="C840" t="s">
        <v>773</v>
      </c>
      <c r="D840">
        <v>420517</v>
      </c>
      <c r="E840" t="s">
        <v>588</v>
      </c>
      <c r="F840" t="s">
        <v>23</v>
      </c>
      <c r="G840" t="str">
        <f t="shared" si="26"/>
        <v>Yes</v>
      </c>
      <c r="H840">
        <f t="shared" si="27"/>
        <v>70</v>
      </c>
      <c r="I840" s="1">
        <f>IF(COUNTIF('Transaction Data'!A:A,A840)&gt;5,20,0)+IF(COUNTIFS('Transaction Data'!A:A,A840,'Transaction Data'!G:G,"Yes")&gt;2,30,0)</f>
        <v>0</v>
      </c>
      <c r="J840">
        <f>'Client Master Data'!I840+'Client Master Data'!J840+H840+I840</f>
        <v>70</v>
      </c>
    </row>
    <row r="841" spans="1:10">
      <c r="A841">
        <v>1435</v>
      </c>
      <c r="B841" t="s">
        <v>1607</v>
      </c>
      <c r="C841" t="s">
        <v>587</v>
      </c>
      <c r="D841">
        <v>62976</v>
      </c>
      <c r="E841" t="s">
        <v>588</v>
      </c>
      <c r="F841" t="s">
        <v>23</v>
      </c>
      <c r="G841" t="str">
        <f t="shared" si="26"/>
        <v>No</v>
      </c>
      <c r="H841">
        <f t="shared" si="27"/>
        <v>0</v>
      </c>
      <c r="I841" s="1">
        <f>IF(COUNTIF('Transaction Data'!A:A,A841)&gt;5,20,0)+IF(COUNTIFS('Transaction Data'!A:A,A841,'Transaction Data'!G:G,"Yes")&gt;2,30,0)</f>
        <v>0</v>
      </c>
      <c r="J841">
        <f>'Client Master Data'!I841+'Client Master Data'!J841+H841+I841</f>
        <v>0</v>
      </c>
    </row>
    <row r="842" spans="1:10">
      <c r="A842">
        <v>1546</v>
      </c>
      <c r="B842" t="s">
        <v>1608</v>
      </c>
      <c r="C842" t="s">
        <v>849</v>
      </c>
      <c r="D842">
        <v>241118</v>
      </c>
      <c r="E842" t="s">
        <v>588</v>
      </c>
      <c r="F842" t="s">
        <v>27</v>
      </c>
      <c r="G842" t="str">
        <f t="shared" si="26"/>
        <v>Yes</v>
      </c>
      <c r="H842">
        <f t="shared" si="27"/>
        <v>70</v>
      </c>
      <c r="I842" s="1">
        <f>IF(COUNTIF('Transaction Data'!A:A,A842)&gt;5,20,0)+IF(COUNTIFS('Transaction Data'!A:A,A842,'Transaction Data'!G:G,"Yes")&gt;2,30,0)</f>
        <v>30</v>
      </c>
      <c r="J842">
        <f>'Client Master Data'!I842+'Client Master Data'!J842+H842+I842</f>
        <v>100</v>
      </c>
    </row>
    <row r="843" spans="1:10">
      <c r="A843">
        <v>1119</v>
      </c>
      <c r="B843" t="s">
        <v>1609</v>
      </c>
      <c r="C843" t="s">
        <v>1118</v>
      </c>
      <c r="D843">
        <v>422241</v>
      </c>
      <c r="E843" t="s">
        <v>588</v>
      </c>
      <c r="F843" t="s">
        <v>23</v>
      </c>
      <c r="G843" t="str">
        <f t="shared" si="26"/>
        <v>Yes</v>
      </c>
      <c r="H843">
        <f t="shared" si="27"/>
        <v>70</v>
      </c>
      <c r="I843" s="1">
        <f>IF(COUNTIF('Transaction Data'!A:A,A843)&gt;5,20,0)+IF(COUNTIFS('Transaction Data'!A:A,A843,'Transaction Data'!G:G,"Yes")&gt;2,30,0)</f>
        <v>30</v>
      </c>
      <c r="J843">
        <f>'Client Master Data'!I843+'Client Master Data'!J843+H843+I843</f>
        <v>100</v>
      </c>
    </row>
    <row r="844" spans="1:10">
      <c r="A844">
        <v>1264</v>
      </c>
      <c r="B844" t="s">
        <v>1610</v>
      </c>
      <c r="C844" t="s">
        <v>1036</v>
      </c>
      <c r="D844">
        <v>489789</v>
      </c>
      <c r="E844" t="s">
        <v>588</v>
      </c>
      <c r="F844" t="s">
        <v>11</v>
      </c>
      <c r="G844" t="str">
        <f t="shared" si="26"/>
        <v>Yes</v>
      </c>
      <c r="H844">
        <f t="shared" si="27"/>
        <v>70</v>
      </c>
      <c r="I844" s="1">
        <f>IF(COUNTIF('Transaction Data'!A:A,A844)&gt;5,20,0)+IF(COUNTIFS('Transaction Data'!A:A,A844,'Transaction Data'!G:G,"Yes")&gt;2,30,0)</f>
        <v>30</v>
      </c>
      <c r="J844">
        <f>'Client Master Data'!I844+'Client Master Data'!J844+H844+I844</f>
        <v>100</v>
      </c>
    </row>
    <row r="845" spans="1:10">
      <c r="A845">
        <v>1381</v>
      </c>
      <c r="B845" t="s">
        <v>1611</v>
      </c>
      <c r="C845" t="s">
        <v>858</v>
      </c>
      <c r="D845">
        <v>223570</v>
      </c>
      <c r="E845" t="s">
        <v>593</v>
      </c>
      <c r="F845" t="s">
        <v>11</v>
      </c>
      <c r="G845" t="str">
        <f t="shared" si="26"/>
        <v>Yes</v>
      </c>
      <c r="H845">
        <f t="shared" si="27"/>
        <v>70</v>
      </c>
      <c r="I845" s="1">
        <f>IF(COUNTIF('Transaction Data'!A:A,A845)&gt;5,20,0)+IF(COUNTIFS('Transaction Data'!A:A,A845,'Transaction Data'!G:G,"Yes")&gt;2,30,0)</f>
        <v>0</v>
      </c>
      <c r="J845">
        <f>'Client Master Data'!I845+'Client Master Data'!J845+H845+I845</f>
        <v>70</v>
      </c>
    </row>
    <row r="846" spans="1:10">
      <c r="A846">
        <v>1093</v>
      </c>
      <c r="B846" t="s">
        <v>1612</v>
      </c>
      <c r="C846" t="s">
        <v>690</v>
      </c>
      <c r="D846">
        <v>12017</v>
      </c>
      <c r="E846" t="s">
        <v>600</v>
      </c>
      <c r="F846" t="s">
        <v>17</v>
      </c>
      <c r="G846" t="str">
        <f t="shared" si="26"/>
        <v>Yes</v>
      </c>
      <c r="H846">
        <f t="shared" si="27"/>
        <v>40</v>
      </c>
      <c r="I846" s="1">
        <f>IF(COUNTIF('Transaction Data'!A:A,A846)&gt;5,20,0)+IF(COUNTIFS('Transaction Data'!A:A,A846,'Transaction Data'!G:G,"Yes")&gt;2,30,0)</f>
        <v>0</v>
      </c>
      <c r="J846">
        <f>'Client Master Data'!I846+'Client Master Data'!J846+H846+I846</f>
        <v>40</v>
      </c>
    </row>
    <row r="847" spans="1:10">
      <c r="A847">
        <v>1315</v>
      </c>
      <c r="B847" t="s">
        <v>1613</v>
      </c>
      <c r="C847" t="s">
        <v>648</v>
      </c>
      <c r="D847">
        <v>332170</v>
      </c>
      <c r="E847" t="s">
        <v>588</v>
      </c>
      <c r="F847" t="s">
        <v>39</v>
      </c>
      <c r="G847" t="str">
        <f t="shared" si="26"/>
        <v>Yes</v>
      </c>
      <c r="H847">
        <f t="shared" si="27"/>
        <v>70</v>
      </c>
      <c r="I847" s="1">
        <f>IF(COUNTIF('Transaction Data'!A:A,A847)&gt;5,20,0)+IF(COUNTIFS('Transaction Data'!A:A,A847,'Transaction Data'!G:G,"Yes")&gt;2,30,0)</f>
        <v>0</v>
      </c>
      <c r="J847">
        <f>'Client Master Data'!I847+'Client Master Data'!J847+H847+I847</f>
        <v>70</v>
      </c>
    </row>
    <row r="848" spans="1:10">
      <c r="A848">
        <v>1025</v>
      </c>
      <c r="B848" t="s">
        <v>1614</v>
      </c>
      <c r="C848" t="s">
        <v>842</v>
      </c>
      <c r="D848">
        <v>377275</v>
      </c>
      <c r="E848" t="s">
        <v>593</v>
      </c>
      <c r="F848" t="s">
        <v>11</v>
      </c>
      <c r="G848" t="str">
        <f t="shared" si="26"/>
        <v>Yes</v>
      </c>
      <c r="H848">
        <f t="shared" si="27"/>
        <v>70</v>
      </c>
      <c r="I848" s="1">
        <f>IF(COUNTIF('Transaction Data'!A:A,A848)&gt;5,20,0)+IF(COUNTIFS('Transaction Data'!A:A,A848,'Transaction Data'!G:G,"Yes")&gt;2,30,0)</f>
        <v>0</v>
      </c>
      <c r="J848">
        <f>'Client Master Data'!I848+'Client Master Data'!J848+H848+I848</f>
        <v>70</v>
      </c>
    </row>
    <row r="849" spans="1:10">
      <c r="A849">
        <v>1018</v>
      </c>
      <c r="B849" t="s">
        <v>1615</v>
      </c>
      <c r="C849" t="s">
        <v>1400</v>
      </c>
      <c r="D849">
        <v>496352</v>
      </c>
      <c r="E849" t="s">
        <v>593</v>
      </c>
      <c r="F849" t="s">
        <v>23</v>
      </c>
      <c r="G849" t="str">
        <f t="shared" si="26"/>
        <v>Yes</v>
      </c>
      <c r="H849">
        <f t="shared" si="27"/>
        <v>70</v>
      </c>
      <c r="I849" s="1">
        <f>IF(COUNTIF('Transaction Data'!A:A,A849)&gt;5,20,0)+IF(COUNTIFS('Transaction Data'!A:A,A849,'Transaction Data'!G:G,"Yes")&gt;2,30,0)</f>
        <v>30</v>
      </c>
      <c r="J849">
        <f>'Client Master Data'!I849+'Client Master Data'!J849+H849+I849</f>
        <v>100</v>
      </c>
    </row>
    <row r="850" spans="1:10">
      <c r="A850">
        <v>1331</v>
      </c>
      <c r="B850" t="s">
        <v>1616</v>
      </c>
      <c r="C850" t="s">
        <v>775</v>
      </c>
      <c r="D850">
        <v>366332</v>
      </c>
      <c r="E850" t="s">
        <v>588</v>
      </c>
      <c r="F850" t="s">
        <v>23</v>
      </c>
      <c r="G850" t="str">
        <f t="shared" si="26"/>
        <v>Yes</v>
      </c>
      <c r="H850">
        <f t="shared" si="27"/>
        <v>70</v>
      </c>
      <c r="I850" s="1">
        <f>IF(COUNTIF('Transaction Data'!A:A,A850)&gt;5,20,0)+IF(COUNTIFS('Transaction Data'!A:A,A850,'Transaction Data'!G:G,"Yes")&gt;2,30,0)</f>
        <v>30</v>
      </c>
      <c r="J850">
        <f>'Client Master Data'!I850+'Client Master Data'!J850+H850+I850</f>
        <v>100</v>
      </c>
    </row>
    <row r="851" spans="1:10">
      <c r="A851">
        <v>1451</v>
      </c>
      <c r="B851" t="s">
        <v>1617</v>
      </c>
      <c r="C851" t="s">
        <v>1133</v>
      </c>
      <c r="D851">
        <v>447895</v>
      </c>
      <c r="E851" t="s">
        <v>588</v>
      </c>
      <c r="F851" t="s">
        <v>54</v>
      </c>
      <c r="G851" t="str">
        <f t="shared" si="26"/>
        <v>Yes</v>
      </c>
      <c r="H851">
        <f t="shared" si="27"/>
        <v>70</v>
      </c>
      <c r="I851" s="1">
        <f>IF(COUNTIF('Transaction Data'!A:A,A851)&gt;5,20,0)+IF(COUNTIFS('Transaction Data'!A:A,A851,'Transaction Data'!G:G,"Yes")&gt;2,30,0)</f>
        <v>30</v>
      </c>
      <c r="J851">
        <f>'Client Master Data'!I851+'Client Master Data'!J851+H851+I851</f>
        <v>100</v>
      </c>
    </row>
    <row r="852" spans="1:10">
      <c r="A852">
        <v>1185</v>
      </c>
      <c r="B852" t="s">
        <v>1618</v>
      </c>
      <c r="C852" t="s">
        <v>1324</v>
      </c>
      <c r="D852">
        <v>156285</v>
      </c>
      <c r="E852" t="s">
        <v>593</v>
      </c>
      <c r="F852" t="s">
        <v>27</v>
      </c>
      <c r="G852" t="str">
        <f t="shared" si="26"/>
        <v>Yes</v>
      </c>
      <c r="H852">
        <f t="shared" si="27"/>
        <v>70</v>
      </c>
      <c r="I852" s="1">
        <f>IF(COUNTIF('Transaction Data'!A:A,A852)&gt;5,20,0)+IF(COUNTIFS('Transaction Data'!A:A,A852,'Transaction Data'!G:G,"Yes")&gt;2,30,0)</f>
        <v>30</v>
      </c>
      <c r="J852">
        <f>'Client Master Data'!I852+'Client Master Data'!J852+H852+I852</f>
        <v>100</v>
      </c>
    </row>
    <row r="853" spans="1:10">
      <c r="A853">
        <v>1094</v>
      </c>
      <c r="B853" t="s">
        <v>1619</v>
      </c>
      <c r="C853" t="s">
        <v>618</v>
      </c>
      <c r="D853">
        <v>456748</v>
      </c>
      <c r="E853" t="s">
        <v>588</v>
      </c>
      <c r="F853" t="s">
        <v>54</v>
      </c>
      <c r="G853" t="str">
        <f t="shared" si="26"/>
        <v>Yes</v>
      </c>
      <c r="H853">
        <f t="shared" si="27"/>
        <v>70</v>
      </c>
      <c r="I853" s="1">
        <f>IF(COUNTIF('Transaction Data'!A:A,A853)&gt;5,20,0)+IF(COUNTIFS('Transaction Data'!A:A,A853,'Transaction Data'!G:G,"Yes")&gt;2,30,0)</f>
        <v>0</v>
      </c>
      <c r="J853">
        <f>'Client Master Data'!I853+'Client Master Data'!J853+H853+I853</f>
        <v>70</v>
      </c>
    </row>
    <row r="854" spans="1:10">
      <c r="A854">
        <v>1295</v>
      </c>
      <c r="B854" t="s">
        <v>1620</v>
      </c>
      <c r="C854" t="s">
        <v>811</v>
      </c>
      <c r="D854">
        <v>107491</v>
      </c>
      <c r="E854" t="s">
        <v>588</v>
      </c>
      <c r="F854" t="s">
        <v>23</v>
      </c>
      <c r="G854" t="str">
        <f t="shared" si="26"/>
        <v>Yes</v>
      </c>
      <c r="H854">
        <f t="shared" si="27"/>
        <v>70</v>
      </c>
      <c r="I854" s="1">
        <f>IF(COUNTIF('Transaction Data'!A:A,A854)&gt;5,20,0)+IF(COUNTIFS('Transaction Data'!A:A,A854,'Transaction Data'!G:G,"Yes")&gt;2,30,0)</f>
        <v>30</v>
      </c>
      <c r="J854">
        <f>'Client Master Data'!I854+'Client Master Data'!J854+H854+I854</f>
        <v>100</v>
      </c>
    </row>
    <row r="855" spans="1:10">
      <c r="A855">
        <v>1006</v>
      </c>
      <c r="B855" t="s">
        <v>1621</v>
      </c>
      <c r="C855" t="s">
        <v>1127</v>
      </c>
      <c r="D855">
        <v>391418</v>
      </c>
      <c r="E855" t="s">
        <v>593</v>
      </c>
      <c r="F855" t="s">
        <v>27</v>
      </c>
      <c r="G855" t="str">
        <f t="shared" si="26"/>
        <v>Yes</v>
      </c>
      <c r="H855">
        <f t="shared" si="27"/>
        <v>70</v>
      </c>
      <c r="I855" s="1">
        <f>IF(COUNTIF('Transaction Data'!A:A,A855)&gt;5,20,0)+IF(COUNTIFS('Transaction Data'!A:A,A855,'Transaction Data'!G:G,"Yes")&gt;2,30,0)</f>
        <v>0</v>
      </c>
      <c r="J855">
        <f>'Client Master Data'!I855+'Client Master Data'!J855+H855+I855</f>
        <v>70</v>
      </c>
    </row>
    <row r="856" spans="1:10">
      <c r="A856">
        <v>1351</v>
      </c>
      <c r="B856" t="s">
        <v>1622</v>
      </c>
      <c r="C856" t="s">
        <v>658</v>
      </c>
      <c r="D856">
        <v>300221</v>
      </c>
      <c r="E856" t="s">
        <v>593</v>
      </c>
      <c r="F856" t="s">
        <v>11</v>
      </c>
      <c r="G856" t="str">
        <f t="shared" si="26"/>
        <v>Yes</v>
      </c>
      <c r="H856">
        <f t="shared" si="27"/>
        <v>70</v>
      </c>
      <c r="I856" s="1">
        <f>IF(COUNTIF('Transaction Data'!A:A,A856)&gt;5,20,0)+IF(COUNTIFS('Transaction Data'!A:A,A856,'Transaction Data'!G:G,"Yes")&gt;2,30,0)</f>
        <v>0</v>
      </c>
      <c r="J856">
        <f>'Client Master Data'!I856+'Client Master Data'!J856+H856+I856</f>
        <v>70</v>
      </c>
    </row>
    <row r="857" spans="1:10">
      <c r="A857">
        <v>1184</v>
      </c>
      <c r="B857" t="s">
        <v>1623</v>
      </c>
      <c r="C857" t="s">
        <v>656</v>
      </c>
      <c r="D857">
        <v>45578</v>
      </c>
      <c r="E857" t="s">
        <v>600</v>
      </c>
      <c r="F857" t="s">
        <v>39</v>
      </c>
      <c r="G857" t="str">
        <f t="shared" si="26"/>
        <v>No</v>
      </c>
      <c r="H857">
        <f t="shared" si="27"/>
        <v>0</v>
      </c>
      <c r="I857" s="1">
        <f>IF(COUNTIF('Transaction Data'!A:A,A857)&gt;5,20,0)+IF(COUNTIFS('Transaction Data'!A:A,A857,'Transaction Data'!G:G,"Yes")&gt;2,30,0)</f>
        <v>0</v>
      </c>
      <c r="J857">
        <f>'Client Master Data'!I857+'Client Master Data'!J857+H857+I857</f>
        <v>0</v>
      </c>
    </row>
    <row r="858" spans="1:10">
      <c r="A858">
        <v>1205</v>
      </c>
      <c r="B858" t="s">
        <v>1624</v>
      </c>
      <c r="C858" t="s">
        <v>629</v>
      </c>
      <c r="D858">
        <v>457491</v>
      </c>
      <c r="E858" t="s">
        <v>588</v>
      </c>
      <c r="F858" t="s">
        <v>23</v>
      </c>
      <c r="G858" t="str">
        <f t="shared" si="26"/>
        <v>Yes</v>
      </c>
      <c r="H858">
        <f t="shared" si="27"/>
        <v>70</v>
      </c>
      <c r="I858" s="1">
        <f>IF(COUNTIF('Transaction Data'!A:A,A858)&gt;5,20,0)+IF(COUNTIFS('Transaction Data'!A:A,A858,'Transaction Data'!G:G,"Yes")&gt;2,30,0)</f>
        <v>0</v>
      </c>
      <c r="J858">
        <f>'Client Master Data'!I858+'Client Master Data'!J858+H858+I858</f>
        <v>70</v>
      </c>
    </row>
    <row r="859" spans="1:10">
      <c r="A859">
        <v>1116</v>
      </c>
      <c r="B859" t="s">
        <v>1625</v>
      </c>
      <c r="C859" t="s">
        <v>725</v>
      </c>
      <c r="D859">
        <v>100576</v>
      </c>
      <c r="E859" t="s">
        <v>588</v>
      </c>
      <c r="F859" t="s">
        <v>27</v>
      </c>
      <c r="G859" t="str">
        <f t="shared" si="26"/>
        <v>Yes</v>
      </c>
      <c r="H859">
        <f t="shared" si="27"/>
        <v>70</v>
      </c>
      <c r="I859" s="1">
        <f>IF(COUNTIF('Transaction Data'!A:A,A859)&gt;5,20,0)+IF(COUNTIFS('Transaction Data'!A:A,A859,'Transaction Data'!G:G,"Yes")&gt;2,30,0)</f>
        <v>0</v>
      </c>
      <c r="J859">
        <f>'Client Master Data'!I859+'Client Master Data'!J859+H859+I859</f>
        <v>70</v>
      </c>
    </row>
    <row r="860" spans="1:10">
      <c r="A860">
        <v>1099</v>
      </c>
      <c r="B860" t="s">
        <v>1626</v>
      </c>
      <c r="C860" t="s">
        <v>669</v>
      </c>
      <c r="D860">
        <v>36159</v>
      </c>
      <c r="E860" t="s">
        <v>588</v>
      </c>
      <c r="F860" t="s">
        <v>17</v>
      </c>
      <c r="G860" t="str">
        <f t="shared" si="26"/>
        <v>Yes</v>
      </c>
      <c r="H860">
        <f t="shared" si="27"/>
        <v>40</v>
      </c>
      <c r="I860" s="1">
        <f>IF(COUNTIF('Transaction Data'!A:A,A860)&gt;5,20,0)+IF(COUNTIFS('Transaction Data'!A:A,A860,'Transaction Data'!G:G,"Yes")&gt;2,30,0)</f>
        <v>0</v>
      </c>
      <c r="J860">
        <f>'Client Master Data'!I860+'Client Master Data'!J860+H860+I860</f>
        <v>40</v>
      </c>
    </row>
    <row r="861" spans="1:10">
      <c r="A861">
        <v>1368</v>
      </c>
      <c r="B861" t="s">
        <v>1627</v>
      </c>
      <c r="C861" t="s">
        <v>818</v>
      </c>
      <c r="D861">
        <v>119868</v>
      </c>
      <c r="E861" t="s">
        <v>588</v>
      </c>
      <c r="F861" t="s">
        <v>54</v>
      </c>
      <c r="G861" t="str">
        <f t="shared" si="26"/>
        <v>Yes</v>
      </c>
      <c r="H861">
        <f t="shared" si="27"/>
        <v>70</v>
      </c>
      <c r="I861" s="1">
        <f>IF(COUNTIF('Transaction Data'!A:A,A861)&gt;5,20,0)+IF(COUNTIFS('Transaction Data'!A:A,A861,'Transaction Data'!G:G,"Yes")&gt;2,30,0)</f>
        <v>0</v>
      </c>
      <c r="J861">
        <f>'Client Master Data'!I861+'Client Master Data'!J861+H861+I861</f>
        <v>70</v>
      </c>
    </row>
    <row r="862" spans="1:10">
      <c r="A862">
        <v>1135</v>
      </c>
      <c r="B862" t="s">
        <v>1628</v>
      </c>
      <c r="C862" t="s">
        <v>754</v>
      </c>
      <c r="D862">
        <v>483610</v>
      </c>
      <c r="E862" t="s">
        <v>588</v>
      </c>
      <c r="F862" t="s">
        <v>39</v>
      </c>
      <c r="G862" t="str">
        <f t="shared" si="26"/>
        <v>Yes</v>
      </c>
      <c r="H862">
        <f t="shared" si="27"/>
        <v>70</v>
      </c>
      <c r="I862" s="1">
        <f>IF(COUNTIF('Transaction Data'!A:A,A862)&gt;5,20,0)+IF(COUNTIFS('Transaction Data'!A:A,A862,'Transaction Data'!G:G,"Yes")&gt;2,30,0)</f>
        <v>0</v>
      </c>
      <c r="J862">
        <f>'Client Master Data'!I862+'Client Master Data'!J862+H862+I862</f>
        <v>70</v>
      </c>
    </row>
    <row r="863" spans="1:10">
      <c r="A863">
        <v>1103</v>
      </c>
      <c r="B863" t="s">
        <v>1629</v>
      </c>
      <c r="C863" t="s">
        <v>1242</v>
      </c>
      <c r="D863">
        <v>111880</v>
      </c>
      <c r="E863" t="s">
        <v>600</v>
      </c>
      <c r="F863" t="s">
        <v>17</v>
      </c>
      <c r="G863" t="str">
        <f t="shared" si="26"/>
        <v>Yes</v>
      </c>
      <c r="H863">
        <f t="shared" si="27"/>
        <v>70</v>
      </c>
      <c r="I863" s="1">
        <f>IF(COUNTIF('Transaction Data'!A:A,A863)&gt;5,20,0)+IF(COUNTIFS('Transaction Data'!A:A,A863,'Transaction Data'!G:G,"Yes")&gt;2,30,0)</f>
        <v>0</v>
      </c>
      <c r="J863">
        <f>'Client Master Data'!I863+'Client Master Data'!J863+H863+I863</f>
        <v>70</v>
      </c>
    </row>
    <row r="864" spans="1:10">
      <c r="A864">
        <v>1035</v>
      </c>
      <c r="B864" t="s">
        <v>1630</v>
      </c>
      <c r="C864" t="s">
        <v>866</v>
      </c>
      <c r="D864">
        <v>325974</v>
      </c>
      <c r="E864" t="s">
        <v>593</v>
      </c>
      <c r="F864" t="s">
        <v>54</v>
      </c>
      <c r="G864" t="str">
        <f t="shared" si="26"/>
        <v>Yes</v>
      </c>
      <c r="H864">
        <f t="shared" si="27"/>
        <v>70</v>
      </c>
      <c r="I864" s="1">
        <f>IF(COUNTIF('Transaction Data'!A:A,A864)&gt;5,20,0)+IF(COUNTIFS('Transaction Data'!A:A,A864,'Transaction Data'!G:G,"Yes")&gt;2,30,0)</f>
        <v>0</v>
      </c>
      <c r="J864">
        <f>'Client Master Data'!I864+'Client Master Data'!J864+H864+I864</f>
        <v>70</v>
      </c>
    </row>
    <row r="865" spans="1:10">
      <c r="A865">
        <v>1470</v>
      </c>
      <c r="B865" t="s">
        <v>1631</v>
      </c>
      <c r="C865" t="s">
        <v>888</v>
      </c>
      <c r="D865">
        <v>1499</v>
      </c>
      <c r="E865" t="s">
        <v>588</v>
      </c>
      <c r="F865" t="s">
        <v>39</v>
      </c>
      <c r="G865" t="str">
        <f t="shared" si="26"/>
        <v>No</v>
      </c>
      <c r="H865">
        <f t="shared" si="27"/>
        <v>0</v>
      </c>
      <c r="I865" s="1">
        <f>IF(COUNTIF('Transaction Data'!A:A,A865)&gt;5,20,0)+IF(COUNTIFS('Transaction Data'!A:A,A865,'Transaction Data'!G:G,"Yes")&gt;2,30,0)</f>
        <v>30</v>
      </c>
      <c r="J865">
        <f>'Client Master Data'!I865+'Client Master Data'!J865+H865+I865</f>
        <v>30</v>
      </c>
    </row>
    <row r="866" spans="1:10">
      <c r="A866">
        <v>1104</v>
      </c>
      <c r="B866" t="s">
        <v>1632</v>
      </c>
      <c r="C866" t="s">
        <v>734</v>
      </c>
      <c r="D866">
        <v>392419</v>
      </c>
      <c r="E866" t="s">
        <v>600</v>
      </c>
      <c r="F866" t="s">
        <v>39</v>
      </c>
      <c r="G866" t="str">
        <f t="shared" si="26"/>
        <v>Yes</v>
      </c>
      <c r="H866">
        <f t="shared" si="27"/>
        <v>70</v>
      </c>
      <c r="I866" s="1">
        <f>IF(COUNTIF('Transaction Data'!A:A,A866)&gt;5,20,0)+IF(COUNTIFS('Transaction Data'!A:A,A866,'Transaction Data'!G:G,"Yes")&gt;2,30,0)</f>
        <v>0</v>
      </c>
      <c r="J866">
        <f>'Client Master Data'!I866+'Client Master Data'!J866+H866+I866</f>
        <v>70</v>
      </c>
    </row>
    <row r="867" spans="1:10">
      <c r="A867">
        <v>1203</v>
      </c>
      <c r="B867" t="s">
        <v>1633</v>
      </c>
      <c r="C867" t="s">
        <v>1370</v>
      </c>
      <c r="D867">
        <v>121400</v>
      </c>
      <c r="E867" t="s">
        <v>593</v>
      </c>
      <c r="F867" t="s">
        <v>23</v>
      </c>
      <c r="G867" t="str">
        <f t="shared" si="26"/>
        <v>Yes</v>
      </c>
      <c r="H867">
        <f t="shared" si="27"/>
        <v>70</v>
      </c>
      <c r="I867" s="1">
        <f>IF(COUNTIF('Transaction Data'!A:A,A867)&gt;5,20,0)+IF(COUNTIFS('Transaction Data'!A:A,A867,'Transaction Data'!G:G,"Yes")&gt;2,30,0)</f>
        <v>30</v>
      </c>
      <c r="J867">
        <f>'Client Master Data'!I867+'Client Master Data'!J867+H867+I867</f>
        <v>100</v>
      </c>
    </row>
    <row r="868" spans="1:10">
      <c r="A868">
        <v>1208</v>
      </c>
      <c r="B868" t="s">
        <v>1634</v>
      </c>
      <c r="C868" t="s">
        <v>685</v>
      </c>
      <c r="D868">
        <v>310654</v>
      </c>
      <c r="E868" t="s">
        <v>600</v>
      </c>
      <c r="F868" t="s">
        <v>39</v>
      </c>
      <c r="G868" t="str">
        <f t="shared" si="26"/>
        <v>Yes</v>
      </c>
      <c r="H868">
        <f t="shared" si="27"/>
        <v>70</v>
      </c>
      <c r="I868" s="1">
        <f>IF(COUNTIF('Transaction Data'!A:A,A868)&gt;5,20,0)+IF(COUNTIFS('Transaction Data'!A:A,A868,'Transaction Data'!G:G,"Yes")&gt;2,30,0)</f>
        <v>0</v>
      </c>
      <c r="J868">
        <f>'Client Master Data'!I868+'Client Master Data'!J868+H868+I868</f>
        <v>70</v>
      </c>
    </row>
    <row r="869" spans="1:10">
      <c r="A869">
        <v>1039</v>
      </c>
      <c r="B869" t="s">
        <v>1635</v>
      </c>
      <c r="C869" t="s">
        <v>590</v>
      </c>
      <c r="D869">
        <v>116689</v>
      </c>
      <c r="E869" t="s">
        <v>600</v>
      </c>
      <c r="F869" t="s">
        <v>11</v>
      </c>
      <c r="G869" t="str">
        <f t="shared" si="26"/>
        <v>Yes</v>
      </c>
      <c r="H869">
        <f t="shared" si="27"/>
        <v>70</v>
      </c>
      <c r="I869" s="1">
        <f>IF(COUNTIF('Transaction Data'!A:A,A869)&gt;5,20,0)+IF(COUNTIFS('Transaction Data'!A:A,A869,'Transaction Data'!G:G,"Yes")&gt;2,30,0)</f>
        <v>0</v>
      </c>
      <c r="J869">
        <f>'Client Master Data'!I869+'Client Master Data'!J869+H869+I869</f>
        <v>70</v>
      </c>
    </row>
    <row r="870" spans="1:10">
      <c r="A870">
        <v>1460</v>
      </c>
      <c r="B870" t="s">
        <v>1636</v>
      </c>
      <c r="C870" t="s">
        <v>792</v>
      </c>
      <c r="D870">
        <v>372394</v>
      </c>
      <c r="E870" t="s">
        <v>600</v>
      </c>
      <c r="F870" t="s">
        <v>54</v>
      </c>
      <c r="G870" t="str">
        <f t="shared" si="26"/>
        <v>Yes</v>
      </c>
      <c r="H870">
        <f t="shared" si="27"/>
        <v>70</v>
      </c>
      <c r="I870" s="1">
        <f>IF(COUNTIF('Transaction Data'!A:A,A870)&gt;5,20,0)+IF(COUNTIFS('Transaction Data'!A:A,A870,'Transaction Data'!G:G,"Yes")&gt;2,30,0)</f>
        <v>50</v>
      </c>
      <c r="J870">
        <f>'Client Master Data'!I870+'Client Master Data'!J870+H870+I870</f>
        <v>120</v>
      </c>
    </row>
    <row r="871" spans="1:10">
      <c r="A871">
        <v>1233</v>
      </c>
      <c r="B871" t="s">
        <v>1637</v>
      </c>
      <c r="C871" t="s">
        <v>644</v>
      </c>
      <c r="D871">
        <v>482603</v>
      </c>
      <c r="E871" t="s">
        <v>593</v>
      </c>
      <c r="F871" t="s">
        <v>23</v>
      </c>
      <c r="G871" t="str">
        <f t="shared" si="26"/>
        <v>Yes</v>
      </c>
      <c r="H871">
        <f t="shared" si="27"/>
        <v>70</v>
      </c>
      <c r="I871" s="1">
        <f>IF(COUNTIF('Transaction Data'!A:A,A871)&gt;5,20,0)+IF(COUNTIFS('Transaction Data'!A:A,A871,'Transaction Data'!G:G,"Yes")&gt;2,30,0)</f>
        <v>0</v>
      </c>
      <c r="J871">
        <f>'Client Master Data'!I871+'Client Master Data'!J871+H871+I871</f>
        <v>70</v>
      </c>
    </row>
    <row r="872" spans="1:10">
      <c r="A872">
        <v>1529</v>
      </c>
      <c r="B872" t="s">
        <v>1638</v>
      </c>
      <c r="C872" t="s">
        <v>760</v>
      </c>
      <c r="D872">
        <v>29946</v>
      </c>
      <c r="E872" t="s">
        <v>593</v>
      </c>
      <c r="F872" t="s">
        <v>11</v>
      </c>
      <c r="G872" t="str">
        <f t="shared" si="26"/>
        <v>No</v>
      </c>
      <c r="H872">
        <f t="shared" si="27"/>
        <v>0</v>
      </c>
      <c r="I872" s="1">
        <f>IF(COUNTIF('Transaction Data'!A:A,A872)&gt;5,20,0)+IF(COUNTIFS('Transaction Data'!A:A,A872,'Transaction Data'!G:G,"Yes")&gt;2,30,0)</f>
        <v>0</v>
      </c>
      <c r="J872">
        <f>'Client Master Data'!I872+'Client Master Data'!J872+H872+I872</f>
        <v>0</v>
      </c>
    </row>
    <row r="873" spans="1:10">
      <c r="A873">
        <v>1369</v>
      </c>
      <c r="B873" t="s">
        <v>1639</v>
      </c>
      <c r="C873" t="s">
        <v>654</v>
      </c>
      <c r="D873">
        <v>201531</v>
      </c>
      <c r="E873" t="s">
        <v>600</v>
      </c>
      <c r="F873" t="s">
        <v>11</v>
      </c>
      <c r="G873" t="str">
        <f t="shared" si="26"/>
        <v>Yes</v>
      </c>
      <c r="H873">
        <f t="shared" si="27"/>
        <v>70</v>
      </c>
      <c r="I873" s="1">
        <f>IF(COUNTIF('Transaction Data'!A:A,A873)&gt;5,20,0)+IF(COUNTIFS('Transaction Data'!A:A,A873,'Transaction Data'!G:G,"Yes")&gt;2,30,0)</f>
        <v>0</v>
      </c>
      <c r="J873">
        <f>'Client Master Data'!I873+'Client Master Data'!J873+H873+I873</f>
        <v>70</v>
      </c>
    </row>
    <row r="874" spans="1:10">
      <c r="A874">
        <v>1480</v>
      </c>
      <c r="B874" t="s">
        <v>1640</v>
      </c>
      <c r="C874" t="s">
        <v>754</v>
      </c>
      <c r="D874">
        <v>67857</v>
      </c>
      <c r="E874" t="s">
        <v>600</v>
      </c>
      <c r="F874" t="s">
        <v>39</v>
      </c>
      <c r="G874" t="str">
        <f t="shared" si="26"/>
        <v>No</v>
      </c>
      <c r="H874">
        <f t="shared" si="27"/>
        <v>0</v>
      </c>
      <c r="I874" s="1">
        <f>IF(COUNTIF('Transaction Data'!A:A,A874)&gt;5,20,0)+IF(COUNTIFS('Transaction Data'!A:A,A874,'Transaction Data'!G:G,"Yes")&gt;2,30,0)</f>
        <v>0</v>
      </c>
      <c r="J874">
        <f>'Client Master Data'!I874+'Client Master Data'!J874+H874+I874</f>
        <v>0</v>
      </c>
    </row>
    <row r="875" spans="1:10">
      <c r="A875">
        <v>1228</v>
      </c>
      <c r="B875" t="s">
        <v>1641</v>
      </c>
      <c r="C875" t="s">
        <v>820</v>
      </c>
      <c r="D875">
        <v>183415</v>
      </c>
      <c r="E875" t="s">
        <v>588</v>
      </c>
      <c r="F875" t="s">
        <v>27</v>
      </c>
      <c r="G875" t="str">
        <f t="shared" si="26"/>
        <v>Yes</v>
      </c>
      <c r="H875">
        <f t="shared" si="27"/>
        <v>70</v>
      </c>
      <c r="I875" s="1">
        <f>IF(COUNTIF('Transaction Data'!A:A,A875)&gt;5,20,0)+IF(COUNTIFS('Transaction Data'!A:A,A875,'Transaction Data'!G:G,"Yes")&gt;2,30,0)</f>
        <v>30</v>
      </c>
      <c r="J875">
        <f>'Client Master Data'!I875+'Client Master Data'!J875+H875+I875</f>
        <v>100</v>
      </c>
    </row>
    <row r="876" spans="1:10">
      <c r="A876">
        <v>1460</v>
      </c>
      <c r="B876" t="s">
        <v>1642</v>
      </c>
      <c r="C876" t="s">
        <v>902</v>
      </c>
      <c r="D876">
        <v>94852</v>
      </c>
      <c r="E876" t="s">
        <v>588</v>
      </c>
      <c r="F876" t="s">
        <v>39</v>
      </c>
      <c r="G876" t="str">
        <f t="shared" si="26"/>
        <v>No</v>
      </c>
      <c r="H876">
        <f t="shared" si="27"/>
        <v>0</v>
      </c>
      <c r="I876" s="1">
        <f>IF(COUNTIF('Transaction Data'!A:A,A876)&gt;5,20,0)+IF(COUNTIFS('Transaction Data'!A:A,A876,'Transaction Data'!G:G,"Yes")&gt;2,30,0)</f>
        <v>50</v>
      </c>
      <c r="J876">
        <f>'Client Master Data'!I876+'Client Master Data'!J876+H876+I876</f>
        <v>50</v>
      </c>
    </row>
    <row r="877" spans="1:10">
      <c r="A877">
        <v>1388</v>
      </c>
      <c r="B877" t="s">
        <v>1643</v>
      </c>
      <c r="C877" t="s">
        <v>731</v>
      </c>
      <c r="D877">
        <v>255212</v>
      </c>
      <c r="E877" t="s">
        <v>600</v>
      </c>
      <c r="F877" t="s">
        <v>11</v>
      </c>
      <c r="G877" t="str">
        <f t="shared" si="26"/>
        <v>Yes</v>
      </c>
      <c r="H877">
        <f t="shared" si="27"/>
        <v>70</v>
      </c>
      <c r="I877" s="1">
        <f>IF(COUNTIF('Transaction Data'!A:A,A877)&gt;5,20,0)+IF(COUNTIFS('Transaction Data'!A:A,A877,'Transaction Data'!G:G,"Yes")&gt;2,30,0)</f>
        <v>0</v>
      </c>
      <c r="J877">
        <f>'Client Master Data'!I877+'Client Master Data'!J877+H877+I877</f>
        <v>70</v>
      </c>
    </row>
    <row r="878" spans="1:10">
      <c r="A878">
        <v>1066</v>
      </c>
      <c r="B878" t="s">
        <v>1644</v>
      </c>
      <c r="C878" t="s">
        <v>981</v>
      </c>
      <c r="D878">
        <v>420683</v>
      </c>
      <c r="E878" t="s">
        <v>593</v>
      </c>
      <c r="F878" t="s">
        <v>27</v>
      </c>
      <c r="G878" t="str">
        <f t="shared" si="26"/>
        <v>Yes</v>
      </c>
      <c r="H878">
        <f t="shared" si="27"/>
        <v>70</v>
      </c>
      <c r="I878" s="1">
        <f>IF(COUNTIF('Transaction Data'!A:A,A878)&gt;5,20,0)+IF(COUNTIFS('Transaction Data'!A:A,A878,'Transaction Data'!G:G,"Yes")&gt;2,30,0)</f>
        <v>0</v>
      </c>
      <c r="J878">
        <f>'Client Master Data'!I878+'Client Master Data'!J878+H878+I878</f>
        <v>70</v>
      </c>
    </row>
    <row r="879" spans="1:10">
      <c r="A879">
        <v>1228</v>
      </c>
      <c r="B879" t="s">
        <v>1645</v>
      </c>
      <c r="C879" t="s">
        <v>1140</v>
      </c>
      <c r="D879">
        <v>143345</v>
      </c>
      <c r="E879" t="s">
        <v>593</v>
      </c>
      <c r="F879" t="s">
        <v>39</v>
      </c>
      <c r="G879" t="str">
        <f t="shared" si="26"/>
        <v>Yes</v>
      </c>
      <c r="H879">
        <f t="shared" si="27"/>
        <v>70</v>
      </c>
      <c r="I879" s="1">
        <f>IF(COUNTIF('Transaction Data'!A:A,A879)&gt;5,20,0)+IF(COUNTIFS('Transaction Data'!A:A,A879,'Transaction Data'!G:G,"Yes")&gt;2,30,0)</f>
        <v>30</v>
      </c>
      <c r="J879">
        <f>'Client Master Data'!I879+'Client Master Data'!J879+H879+I879</f>
        <v>100</v>
      </c>
    </row>
    <row r="880" spans="1:10">
      <c r="A880">
        <v>1202</v>
      </c>
      <c r="B880" t="s">
        <v>1646</v>
      </c>
      <c r="C880" t="s">
        <v>616</v>
      </c>
      <c r="D880">
        <v>437287</v>
      </c>
      <c r="E880" t="s">
        <v>600</v>
      </c>
      <c r="F880" t="s">
        <v>27</v>
      </c>
      <c r="G880" t="str">
        <f t="shared" si="26"/>
        <v>Yes</v>
      </c>
      <c r="H880">
        <f t="shared" si="27"/>
        <v>70</v>
      </c>
      <c r="I880" s="1">
        <f>IF(COUNTIF('Transaction Data'!A:A,A880)&gt;5,20,0)+IF(COUNTIFS('Transaction Data'!A:A,A880,'Transaction Data'!G:G,"Yes")&gt;2,30,0)</f>
        <v>0</v>
      </c>
      <c r="J880">
        <f>'Client Master Data'!I880+'Client Master Data'!J880+H880+I880</f>
        <v>70</v>
      </c>
    </row>
    <row r="881" spans="1:10">
      <c r="A881">
        <v>1309</v>
      </c>
      <c r="B881" t="s">
        <v>1647</v>
      </c>
      <c r="C881" t="s">
        <v>1308</v>
      </c>
      <c r="D881">
        <v>388480</v>
      </c>
      <c r="E881" t="s">
        <v>600</v>
      </c>
      <c r="F881" t="s">
        <v>17</v>
      </c>
      <c r="G881" t="str">
        <f t="shared" si="26"/>
        <v>Yes</v>
      </c>
      <c r="H881">
        <f t="shared" si="27"/>
        <v>70</v>
      </c>
      <c r="I881" s="1">
        <f>IF(COUNTIF('Transaction Data'!A:A,A881)&gt;5,20,0)+IF(COUNTIFS('Transaction Data'!A:A,A881,'Transaction Data'!G:G,"Yes")&gt;2,30,0)</f>
        <v>0</v>
      </c>
      <c r="J881">
        <f>'Client Master Data'!I881+'Client Master Data'!J881+H881+I881</f>
        <v>70</v>
      </c>
    </row>
    <row r="882" spans="1:10">
      <c r="A882">
        <v>1302</v>
      </c>
      <c r="B882" t="s">
        <v>1648</v>
      </c>
      <c r="C882" t="s">
        <v>981</v>
      </c>
      <c r="D882">
        <v>93002</v>
      </c>
      <c r="E882" t="s">
        <v>588</v>
      </c>
      <c r="F882" t="s">
        <v>23</v>
      </c>
      <c r="G882" t="str">
        <f t="shared" si="26"/>
        <v>No</v>
      </c>
      <c r="H882">
        <f t="shared" si="27"/>
        <v>0</v>
      </c>
      <c r="I882" s="1">
        <f>IF(COUNTIF('Transaction Data'!A:A,A882)&gt;5,20,0)+IF(COUNTIFS('Transaction Data'!A:A,A882,'Transaction Data'!G:G,"Yes")&gt;2,30,0)</f>
        <v>30</v>
      </c>
      <c r="J882">
        <f>'Client Master Data'!I882+'Client Master Data'!J882+H882+I882</f>
        <v>30</v>
      </c>
    </row>
    <row r="883" spans="1:10">
      <c r="A883">
        <v>1512</v>
      </c>
      <c r="B883" t="s">
        <v>1649</v>
      </c>
      <c r="C883" t="s">
        <v>608</v>
      </c>
      <c r="D883">
        <v>373085</v>
      </c>
      <c r="E883" t="s">
        <v>588</v>
      </c>
      <c r="F883" t="s">
        <v>54</v>
      </c>
      <c r="G883" t="str">
        <f t="shared" si="26"/>
        <v>Yes</v>
      </c>
      <c r="H883">
        <f t="shared" si="27"/>
        <v>70</v>
      </c>
      <c r="I883" s="1">
        <f>IF(COUNTIF('Transaction Data'!A:A,A883)&gt;5,20,0)+IF(COUNTIFS('Transaction Data'!A:A,A883,'Transaction Data'!G:G,"Yes")&gt;2,30,0)</f>
        <v>30</v>
      </c>
      <c r="J883">
        <f>'Client Master Data'!I883+'Client Master Data'!J883+H883+I883</f>
        <v>100</v>
      </c>
    </row>
    <row r="884" spans="1:10">
      <c r="A884">
        <v>1453</v>
      </c>
      <c r="B884" t="s">
        <v>1650</v>
      </c>
      <c r="C884" t="s">
        <v>723</v>
      </c>
      <c r="D884">
        <v>92540</v>
      </c>
      <c r="E884" t="s">
        <v>600</v>
      </c>
      <c r="F884" t="s">
        <v>39</v>
      </c>
      <c r="G884" t="str">
        <f t="shared" si="26"/>
        <v>No</v>
      </c>
      <c r="H884">
        <f t="shared" si="27"/>
        <v>0</v>
      </c>
      <c r="I884" s="1">
        <f>IF(COUNTIF('Transaction Data'!A:A,A884)&gt;5,20,0)+IF(COUNTIFS('Transaction Data'!A:A,A884,'Transaction Data'!G:G,"Yes")&gt;2,30,0)</f>
        <v>0</v>
      </c>
      <c r="J884">
        <f>'Client Master Data'!I884+'Client Master Data'!J884+H884+I884</f>
        <v>0</v>
      </c>
    </row>
    <row r="885" spans="1:10">
      <c r="A885">
        <v>1336</v>
      </c>
      <c r="B885" t="s">
        <v>1651</v>
      </c>
      <c r="C885" t="s">
        <v>760</v>
      </c>
      <c r="D885">
        <v>177179</v>
      </c>
      <c r="E885" t="s">
        <v>588</v>
      </c>
      <c r="F885" t="s">
        <v>11</v>
      </c>
      <c r="G885" t="str">
        <f t="shared" si="26"/>
        <v>Yes</v>
      </c>
      <c r="H885">
        <f t="shared" si="27"/>
        <v>70</v>
      </c>
      <c r="I885" s="1">
        <f>IF(COUNTIF('Transaction Data'!A:A,A885)&gt;5,20,0)+IF(COUNTIFS('Transaction Data'!A:A,A885,'Transaction Data'!G:G,"Yes")&gt;2,30,0)</f>
        <v>30</v>
      </c>
      <c r="J885">
        <f>'Client Master Data'!I885+'Client Master Data'!J885+H885+I885</f>
        <v>100</v>
      </c>
    </row>
    <row r="886" spans="1:10">
      <c r="A886">
        <v>1153</v>
      </c>
      <c r="B886" t="s">
        <v>1652</v>
      </c>
      <c r="C886" t="s">
        <v>736</v>
      </c>
      <c r="D886">
        <v>232738</v>
      </c>
      <c r="E886" t="s">
        <v>593</v>
      </c>
      <c r="F886" t="s">
        <v>17</v>
      </c>
      <c r="G886" t="str">
        <f t="shared" si="26"/>
        <v>Yes</v>
      </c>
      <c r="H886">
        <f t="shared" si="27"/>
        <v>70</v>
      </c>
      <c r="I886" s="1">
        <f>IF(COUNTIF('Transaction Data'!A:A,A886)&gt;5,20,0)+IF(COUNTIFS('Transaction Data'!A:A,A886,'Transaction Data'!G:G,"Yes")&gt;2,30,0)</f>
        <v>0</v>
      </c>
      <c r="J886">
        <f>'Client Master Data'!I886+'Client Master Data'!J886+H886+I886</f>
        <v>70</v>
      </c>
    </row>
    <row r="887" spans="1:10">
      <c r="A887">
        <v>1183</v>
      </c>
      <c r="B887" t="s">
        <v>1653</v>
      </c>
      <c r="C887" t="s">
        <v>623</v>
      </c>
      <c r="D887">
        <v>354474</v>
      </c>
      <c r="E887" t="s">
        <v>600</v>
      </c>
      <c r="F887" t="s">
        <v>54</v>
      </c>
      <c r="G887" t="str">
        <f t="shared" si="26"/>
        <v>Yes</v>
      </c>
      <c r="H887">
        <f t="shared" si="27"/>
        <v>70</v>
      </c>
      <c r="I887" s="1">
        <f>IF(COUNTIF('Transaction Data'!A:A,A887)&gt;5,20,0)+IF(COUNTIFS('Transaction Data'!A:A,A887,'Transaction Data'!G:G,"Yes")&gt;2,30,0)</f>
        <v>0</v>
      </c>
      <c r="J887">
        <f>'Client Master Data'!I887+'Client Master Data'!J887+H887+I887</f>
        <v>70</v>
      </c>
    </row>
    <row r="888" spans="1:10">
      <c r="A888">
        <v>1067</v>
      </c>
      <c r="B888" t="s">
        <v>1654</v>
      </c>
      <c r="C888" t="s">
        <v>1056</v>
      </c>
      <c r="D888">
        <v>74031</v>
      </c>
      <c r="E888" t="s">
        <v>588</v>
      </c>
      <c r="F888" t="s">
        <v>11</v>
      </c>
      <c r="G888" t="str">
        <f t="shared" si="26"/>
        <v>No</v>
      </c>
      <c r="H888">
        <f t="shared" si="27"/>
        <v>0</v>
      </c>
      <c r="I888" s="1">
        <f>IF(COUNTIF('Transaction Data'!A:A,A888)&gt;5,20,0)+IF(COUNTIFS('Transaction Data'!A:A,A888,'Transaction Data'!G:G,"Yes")&gt;2,30,0)</f>
        <v>0</v>
      </c>
      <c r="J888">
        <f>'Client Master Data'!I888+'Client Master Data'!J888+H888+I888</f>
        <v>0</v>
      </c>
    </row>
    <row r="889" spans="1:10">
      <c r="A889">
        <v>1305</v>
      </c>
      <c r="B889" t="s">
        <v>1655</v>
      </c>
      <c r="C889" t="s">
        <v>633</v>
      </c>
      <c r="D889">
        <v>460529</v>
      </c>
      <c r="E889" t="s">
        <v>593</v>
      </c>
      <c r="F889" t="s">
        <v>11</v>
      </c>
      <c r="G889" t="str">
        <f t="shared" si="26"/>
        <v>Yes</v>
      </c>
      <c r="H889">
        <f t="shared" si="27"/>
        <v>70</v>
      </c>
      <c r="I889" s="1">
        <f>IF(COUNTIF('Transaction Data'!A:A,A889)&gt;5,20,0)+IF(COUNTIFS('Transaction Data'!A:A,A889,'Transaction Data'!G:G,"Yes")&gt;2,30,0)</f>
        <v>0</v>
      </c>
      <c r="J889">
        <f>'Client Master Data'!I889+'Client Master Data'!J889+H889+I889</f>
        <v>70</v>
      </c>
    </row>
    <row r="890" spans="1:10">
      <c r="A890">
        <v>1421</v>
      </c>
      <c r="B890" t="s">
        <v>1656</v>
      </c>
      <c r="C890" t="s">
        <v>1657</v>
      </c>
      <c r="D890">
        <v>148531</v>
      </c>
      <c r="E890" t="s">
        <v>593</v>
      </c>
      <c r="F890" t="s">
        <v>23</v>
      </c>
      <c r="G890" t="str">
        <f t="shared" si="26"/>
        <v>Yes</v>
      </c>
      <c r="H890">
        <f t="shared" si="27"/>
        <v>70</v>
      </c>
      <c r="I890" s="1">
        <f>IF(COUNTIF('Transaction Data'!A:A,A890)&gt;5,20,0)+IF(COUNTIFS('Transaction Data'!A:A,A890,'Transaction Data'!G:G,"Yes")&gt;2,30,0)</f>
        <v>30</v>
      </c>
      <c r="J890">
        <f>'Client Master Data'!I890+'Client Master Data'!J890+H890+I890</f>
        <v>100</v>
      </c>
    </row>
    <row r="891" spans="1:10">
      <c r="A891">
        <v>1320</v>
      </c>
      <c r="B891" t="s">
        <v>1658</v>
      </c>
      <c r="C891" t="s">
        <v>1115</v>
      </c>
      <c r="D891">
        <v>454302</v>
      </c>
      <c r="E891" t="s">
        <v>588</v>
      </c>
      <c r="F891" t="s">
        <v>39</v>
      </c>
      <c r="G891" t="str">
        <f t="shared" si="26"/>
        <v>Yes</v>
      </c>
      <c r="H891">
        <f t="shared" si="27"/>
        <v>70</v>
      </c>
      <c r="I891" s="1">
        <f>IF(COUNTIF('Transaction Data'!A:A,A891)&gt;5,20,0)+IF(COUNTIFS('Transaction Data'!A:A,A891,'Transaction Data'!G:G,"Yes")&gt;2,30,0)</f>
        <v>30</v>
      </c>
      <c r="J891">
        <f>'Client Master Data'!I891+'Client Master Data'!J891+H891+I891</f>
        <v>100</v>
      </c>
    </row>
    <row r="892" spans="1:10">
      <c r="A892">
        <v>1026</v>
      </c>
      <c r="B892" t="s">
        <v>1659</v>
      </c>
      <c r="C892" t="s">
        <v>652</v>
      </c>
      <c r="D892">
        <v>280713</v>
      </c>
      <c r="E892" t="s">
        <v>600</v>
      </c>
      <c r="F892" t="s">
        <v>17</v>
      </c>
      <c r="G892" t="str">
        <f t="shared" si="26"/>
        <v>Yes</v>
      </c>
      <c r="H892">
        <f t="shared" si="27"/>
        <v>70</v>
      </c>
      <c r="I892" s="1">
        <f>IF(COUNTIF('Transaction Data'!A:A,A892)&gt;5,20,0)+IF(COUNTIFS('Transaction Data'!A:A,A892,'Transaction Data'!G:G,"Yes")&gt;2,30,0)</f>
        <v>30</v>
      </c>
      <c r="J892">
        <f>'Client Master Data'!I892+'Client Master Data'!J892+H892+I892</f>
        <v>100</v>
      </c>
    </row>
    <row r="893" spans="1:10">
      <c r="A893">
        <v>1268</v>
      </c>
      <c r="B893" t="s">
        <v>1660</v>
      </c>
      <c r="C893" t="s">
        <v>888</v>
      </c>
      <c r="D893">
        <v>288055</v>
      </c>
      <c r="E893" t="s">
        <v>593</v>
      </c>
      <c r="F893" t="s">
        <v>54</v>
      </c>
      <c r="G893" t="str">
        <f t="shared" si="26"/>
        <v>Yes</v>
      </c>
      <c r="H893">
        <f t="shared" si="27"/>
        <v>70</v>
      </c>
      <c r="I893" s="1">
        <f>IF(COUNTIF('Transaction Data'!A:A,A893)&gt;5,20,0)+IF(COUNTIFS('Transaction Data'!A:A,A893,'Transaction Data'!G:G,"Yes")&gt;2,30,0)</f>
        <v>0</v>
      </c>
      <c r="J893">
        <f>'Client Master Data'!I893+'Client Master Data'!J893+H893+I893</f>
        <v>70</v>
      </c>
    </row>
    <row r="894" spans="1:10">
      <c r="A894">
        <v>1083</v>
      </c>
      <c r="B894" t="s">
        <v>1661</v>
      </c>
      <c r="C894" t="s">
        <v>1505</v>
      </c>
      <c r="D894">
        <v>283607</v>
      </c>
      <c r="E894" t="s">
        <v>600</v>
      </c>
      <c r="F894" t="s">
        <v>27</v>
      </c>
      <c r="G894" t="str">
        <f t="shared" si="26"/>
        <v>Yes</v>
      </c>
      <c r="H894">
        <f t="shared" si="27"/>
        <v>70</v>
      </c>
      <c r="I894" s="1">
        <f>IF(COUNTIF('Transaction Data'!A:A,A894)&gt;5,20,0)+IF(COUNTIFS('Transaction Data'!A:A,A894,'Transaction Data'!G:G,"Yes")&gt;2,30,0)</f>
        <v>0</v>
      </c>
      <c r="J894">
        <f>'Client Master Data'!I894+'Client Master Data'!J894+H894+I894</f>
        <v>70</v>
      </c>
    </row>
    <row r="895" spans="1:10">
      <c r="A895">
        <v>1107</v>
      </c>
      <c r="B895" t="s">
        <v>1662</v>
      </c>
      <c r="C895" t="s">
        <v>826</v>
      </c>
      <c r="D895">
        <v>138477</v>
      </c>
      <c r="E895" t="s">
        <v>588</v>
      </c>
      <c r="F895" t="s">
        <v>17</v>
      </c>
      <c r="G895" t="str">
        <f t="shared" si="26"/>
        <v>Yes</v>
      </c>
      <c r="H895">
        <f t="shared" si="27"/>
        <v>70</v>
      </c>
      <c r="I895" s="1">
        <f>IF(COUNTIF('Transaction Data'!A:A,A895)&gt;5,20,0)+IF(COUNTIFS('Transaction Data'!A:A,A895,'Transaction Data'!G:G,"Yes")&gt;2,30,0)</f>
        <v>30</v>
      </c>
      <c r="J895">
        <f>'Client Master Data'!I895+'Client Master Data'!J895+H895+I895</f>
        <v>100</v>
      </c>
    </row>
    <row r="896" spans="1:10">
      <c r="A896">
        <v>1232</v>
      </c>
      <c r="B896" t="s">
        <v>1663</v>
      </c>
      <c r="C896" t="s">
        <v>836</v>
      </c>
      <c r="D896">
        <v>375965</v>
      </c>
      <c r="E896" t="s">
        <v>593</v>
      </c>
      <c r="F896" t="s">
        <v>39</v>
      </c>
      <c r="G896" t="str">
        <f t="shared" si="26"/>
        <v>Yes</v>
      </c>
      <c r="H896">
        <f t="shared" si="27"/>
        <v>70</v>
      </c>
      <c r="I896" s="1">
        <f>IF(COUNTIF('Transaction Data'!A:A,A896)&gt;5,20,0)+IF(COUNTIFS('Transaction Data'!A:A,A896,'Transaction Data'!G:G,"Yes")&gt;2,30,0)</f>
        <v>0</v>
      </c>
      <c r="J896">
        <f>'Client Master Data'!I896+'Client Master Data'!J896+H896+I896</f>
        <v>70</v>
      </c>
    </row>
    <row r="897" spans="1:10">
      <c r="A897">
        <v>1015</v>
      </c>
      <c r="B897" t="s">
        <v>1664</v>
      </c>
      <c r="C897" t="s">
        <v>1019</v>
      </c>
      <c r="D897">
        <v>317937</v>
      </c>
      <c r="E897" t="s">
        <v>600</v>
      </c>
      <c r="F897" t="s">
        <v>11</v>
      </c>
      <c r="G897" t="str">
        <f t="shared" si="26"/>
        <v>Yes</v>
      </c>
      <c r="H897">
        <f t="shared" si="27"/>
        <v>70</v>
      </c>
      <c r="I897" s="1">
        <f>IF(COUNTIF('Transaction Data'!A:A,A897)&gt;5,20,0)+IF(COUNTIFS('Transaction Data'!A:A,A897,'Transaction Data'!G:G,"Yes")&gt;2,30,0)</f>
        <v>0</v>
      </c>
      <c r="J897">
        <f>'Client Master Data'!I897+'Client Master Data'!J897+H897+I897</f>
        <v>70</v>
      </c>
    </row>
    <row r="898" spans="1:10">
      <c r="A898">
        <v>1108</v>
      </c>
      <c r="B898" t="s">
        <v>1665</v>
      </c>
      <c r="C898" t="s">
        <v>1179</v>
      </c>
      <c r="D898">
        <v>144115</v>
      </c>
      <c r="E898" t="s">
        <v>593</v>
      </c>
      <c r="F898" t="s">
        <v>39</v>
      </c>
      <c r="G898" t="str">
        <f t="shared" ref="G898:G961" si="28">IF(OR(D898&gt;100000,F898="UAE",F898="Nigeria"),"Yes","No")</f>
        <v>Yes</v>
      </c>
      <c r="H898">
        <f t="shared" si="27"/>
        <v>70</v>
      </c>
      <c r="I898" s="1">
        <f>IF(COUNTIF('Transaction Data'!A:A,A898)&gt;5,20,0)+IF(COUNTIFS('Transaction Data'!A:A,A898,'Transaction Data'!G:G,"Yes")&gt;2,30,0)</f>
        <v>0</v>
      </c>
      <c r="J898">
        <f>'Client Master Data'!I898+'Client Master Data'!J898+H898+I898</f>
        <v>70</v>
      </c>
    </row>
    <row r="899" spans="1:10">
      <c r="A899">
        <v>1040</v>
      </c>
      <c r="B899" t="s">
        <v>1666</v>
      </c>
      <c r="C899" t="s">
        <v>685</v>
      </c>
      <c r="D899">
        <v>140121</v>
      </c>
      <c r="E899" t="s">
        <v>600</v>
      </c>
      <c r="F899" t="s">
        <v>11</v>
      </c>
      <c r="G899" t="str">
        <f t="shared" si="28"/>
        <v>Yes</v>
      </c>
      <c r="H899">
        <f t="shared" ref="H899:H962" si="29">IF(D899&gt;100000,30,0)+IF(TRIM(LOWER(G899))="yes",40,0)</f>
        <v>70</v>
      </c>
      <c r="I899" s="1">
        <f>IF(COUNTIF('Transaction Data'!A:A,A899)&gt;5,20,0)+IF(COUNTIFS('Transaction Data'!A:A,A899,'Transaction Data'!G:G,"Yes")&gt;2,30,0)</f>
        <v>0</v>
      </c>
      <c r="J899">
        <f>'Client Master Data'!I899+'Client Master Data'!J899+H899+I899</f>
        <v>70</v>
      </c>
    </row>
    <row r="900" spans="1:10">
      <c r="A900">
        <v>1018</v>
      </c>
      <c r="B900" t="s">
        <v>1667</v>
      </c>
      <c r="C900" t="s">
        <v>652</v>
      </c>
      <c r="D900">
        <v>170003</v>
      </c>
      <c r="E900" t="s">
        <v>588</v>
      </c>
      <c r="F900" t="s">
        <v>54</v>
      </c>
      <c r="G900" t="str">
        <f t="shared" si="28"/>
        <v>Yes</v>
      </c>
      <c r="H900">
        <f t="shared" si="29"/>
        <v>70</v>
      </c>
      <c r="I900" s="1">
        <f>IF(COUNTIF('Transaction Data'!A:A,A900)&gt;5,20,0)+IF(COUNTIFS('Transaction Data'!A:A,A900,'Transaction Data'!G:G,"Yes")&gt;2,30,0)</f>
        <v>30</v>
      </c>
      <c r="J900">
        <f>'Client Master Data'!I900+'Client Master Data'!J900+H900+I900</f>
        <v>100</v>
      </c>
    </row>
    <row r="901" spans="1:10">
      <c r="A901">
        <v>1170</v>
      </c>
      <c r="B901" t="s">
        <v>1668</v>
      </c>
      <c r="C901" t="s">
        <v>633</v>
      </c>
      <c r="D901">
        <v>259938</v>
      </c>
      <c r="E901" t="s">
        <v>593</v>
      </c>
      <c r="F901" t="s">
        <v>27</v>
      </c>
      <c r="G901" t="str">
        <f t="shared" si="28"/>
        <v>Yes</v>
      </c>
      <c r="H901">
        <f t="shared" si="29"/>
        <v>70</v>
      </c>
      <c r="I901" s="1">
        <f>IF(COUNTIF('Transaction Data'!A:A,A901)&gt;5,20,0)+IF(COUNTIFS('Transaction Data'!A:A,A901,'Transaction Data'!G:G,"Yes")&gt;2,30,0)</f>
        <v>30</v>
      </c>
      <c r="J901">
        <f>'Client Master Data'!I901+'Client Master Data'!J901+H901+I901</f>
        <v>100</v>
      </c>
    </row>
    <row r="902" spans="1:10">
      <c r="A902">
        <v>1399</v>
      </c>
      <c r="B902" t="s">
        <v>1669</v>
      </c>
      <c r="C902" t="s">
        <v>696</v>
      </c>
      <c r="D902">
        <v>417023</v>
      </c>
      <c r="E902" t="s">
        <v>588</v>
      </c>
      <c r="F902" t="s">
        <v>54</v>
      </c>
      <c r="G902" t="str">
        <f t="shared" si="28"/>
        <v>Yes</v>
      </c>
      <c r="H902">
        <f t="shared" si="29"/>
        <v>70</v>
      </c>
      <c r="I902" s="1">
        <f>IF(COUNTIF('Transaction Data'!A:A,A902)&gt;5,20,0)+IF(COUNTIFS('Transaction Data'!A:A,A902,'Transaction Data'!G:G,"Yes")&gt;2,30,0)</f>
        <v>30</v>
      </c>
      <c r="J902">
        <f>'Client Master Data'!I902+'Client Master Data'!J902+H902+I902</f>
        <v>100</v>
      </c>
    </row>
    <row r="903" spans="1:10">
      <c r="A903">
        <v>1535</v>
      </c>
      <c r="B903" t="s">
        <v>1670</v>
      </c>
      <c r="C903" t="s">
        <v>836</v>
      </c>
      <c r="D903">
        <v>210427</v>
      </c>
      <c r="E903" t="s">
        <v>588</v>
      </c>
      <c r="F903" t="s">
        <v>39</v>
      </c>
      <c r="G903" t="str">
        <f t="shared" si="28"/>
        <v>Yes</v>
      </c>
      <c r="H903">
        <f t="shared" si="29"/>
        <v>70</v>
      </c>
      <c r="I903" s="1">
        <f>IF(COUNTIF('Transaction Data'!A:A,A903)&gt;5,20,0)+IF(COUNTIFS('Transaction Data'!A:A,A903,'Transaction Data'!G:G,"Yes")&gt;2,30,0)</f>
        <v>0</v>
      </c>
      <c r="J903">
        <f>'Client Master Data'!I903+'Client Master Data'!J903+H903+I903</f>
        <v>70</v>
      </c>
    </row>
    <row r="904" spans="1:10">
      <c r="A904">
        <v>1413</v>
      </c>
      <c r="B904" t="s">
        <v>1671</v>
      </c>
      <c r="C904" t="s">
        <v>1046</v>
      </c>
      <c r="D904">
        <v>248464</v>
      </c>
      <c r="E904" t="s">
        <v>593</v>
      </c>
      <c r="F904" t="s">
        <v>17</v>
      </c>
      <c r="G904" t="str">
        <f t="shared" si="28"/>
        <v>Yes</v>
      </c>
      <c r="H904">
        <f t="shared" si="29"/>
        <v>70</v>
      </c>
      <c r="I904" s="1">
        <f>IF(COUNTIF('Transaction Data'!A:A,A904)&gt;5,20,0)+IF(COUNTIFS('Transaction Data'!A:A,A904,'Transaction Data'!G:G,"Yes")&gt;2,30,0)</f>
        <v>30</v>
      </c>
      <c r="J904">
        <f>'Client Master Data'!I904+'Client Master Data'!J904+H904+I904</f>
        <v>100</v>
      </c>
    </row>
    <row r="905" spans="1:10">
      <c r="A905">
        <v>1261</v>
      </c>
      <c r="B905" t="s">
        <v>1672</v>
      </c>
      <c r="C905" t="s">
        <v>775</v>
      </c>
      <c r="D905">
        <v>346259</v>
      </c>
      <c r="E905" t="s">
        <v>593</v>
      </c>
      <c r="F905" t="s">
        <v>39</v>
      </c>
      <c r="G905" t="str">
        <f t="shared" si="28"/>
        <v>Yes</v>
      </c>
      <c r="H905">
        <f t="shared" si="29"/>
        <v>70</v>
      </c>
      <c r="I905" s="1">
        <f>IF(COUNTIF('Transaction Data'!A:A,A905)&gt;5,20,0)+IF(COUNTIFS('Transaction Data'!A:A,A905,'Transaction Data'!G:G,"Yes")&gt;2,30,0)</f>
        <v>30</v>
      </c>
      <c r="J905">
        <f>'Client Master Data'!I905+'Client Master Data'!J905+H905+I905</f>
        <v>100</v>
      </c>
    </row>
    <row r="906" spans="1:10">
      <c r="A906">
        <v>1278</v>
      </c>
      <c r="B906" t="s">
        <v>1673</v>
      </c>
      <c r="C906" t="s">
        <v>845</v>
      </c>
      <c r="D906">
        <v>75641</v>
      </c>
      <c r="E906" t="s">
        <v>593</v>
      </c>
      <c r="F906" t="s">
        <v>11</v>
      </c>
      <c r="G906" t="str">
        <f t="shared" si="28"/>
        <v>No</v>
      </c>
      <c r="H906">
        <f t="shared" si="29"/>
        <v>0</v>
      </c>
      <c r="I906" s="1">
        <f>IF(COUNTIF('Transaction Data'!A:A,A906)&gt;5,20,0)+IF(COUNTIFS('Transaction Data'!A:A,A906,'Transaction Data'!G:G,"Yes")&gt;2,30,0)</f>
        <v>0</v>
      </c>
      <c r="J906">
        <f>'Client Master Data'!I906+'Client Master Data'!J906+H906+I906</f>
        <v>0</v>
      </c>
    </row>
    <row r="907" spans="1:10">
      <c r="A907">
        <v>1265</v>
      </c>
      <c r="B907" t="s">
        <v>1674</v>
      </c>
      <c r="C907" t="s">
        <v>703</v>
      </c>
      <c r="D907">
        <v>465256</v>
      </c>
      <c r="E907" t="s">
        <v>600</v>
      </c>
      <c r="F907" t="s">
        <v>39</v>
      </c>
      <c r="G907" t="str">
        <f t="shared" si="28"/>
        <v>Yes</v>
      </c>
      <c r="H907">
        <f t="shared" si="29"/>
        <v>70</v>
      </c>
      <c r="I907" s="1">
        <f>IF(COUNTIF('Transaction Data'!A:A,A907)&gt;5,20,0)+IF(COUNTIFS('Transaction Data'!A:A,A907,'Transaction Data'!G:G,"Yes")&gt;2,30,0)</f>
        <v>30</v>
      </c>
      <c r="J907">
        <f>'Client Master Data'!I907+'Client Master Data'!J907+H907+I907</f>
        <v>100</v>
      </c>
    </row>
    <row r="908" spans="1:10">
      <c r="A908">
        <v>1139</v>
      </c>
      <c r="B908" t="s">
        <v>1675</v>
      </c>
      <c r="C908" t="s">
        <v>863</v>
      </c>
      <c r="D908">
        <v>74791</v>
      </c>
      <c r="E908" t="s">
        <v>600</v>
      </c>
      <c r="F908" t="s">
        <v>39</v>
      </c>
      <c r="G908" t="str">
        <f t="shared" si="28"/>
        <v>No</v>
      </c>
      <c r="H908">
        <f t="shared" si="29"/>
        <v>0</v>
      </c>
      <c r="I908" s="1">
        <f>IF(COUNTIF('Transaction Data'!A:A,A908)&gt;5,20,0)+IF(COUNTIFS('Transaction Data'!A:A,A908,'Transaction Data'!G:G,"Yes")&gt;2,30,0)</f>
        <v>0</v>
      </c>
      <c r="J908">
        <f>'Client Master Data'!I908+'Client Master Data'!J908+H908+I908</f>
        <v>0</v>
      </c>
    </row>
    <row r="909" spans="1:10">
      <c r="A909">
        <v>1415</v>
      </c>
      <c r="B909" t="s">
        <v>1676</v>
      </c>
      <c r="C909" t="s">
        <v>858</v>
      </c>
      <c r="D909">
        <v>239686</v>
      </c>
      <c r="E909" t="s">
        <v>593</v>
      </c>
      <c r="F909" t="s">
        <v>39</v>
      </c>
      <c r="G909" t="str">
        <f t="shared" si="28"/>
        <v>Yes</v>
      </c>
      <c r="H909">
        <f t="shared" si="29"/>
        <v>70</v>
      </c>
      <c r="I909" s="1">
        <f>IF(COUNTIF('Transaction Data'!A:A,A909)&gt;5,20,0)+IF(COUNTIFS('Transaction Data'!A:A,A909,'Transaction Data'!G:G,"Yes")&gt;2,30,0)</f>
        <v>0</v>
      </c>
      <c r="J909">
        <f>'Client Master Data'!I909+'Client Master Data'!J909+H909+I909</f>
        <v>70</v>
      </c>
    </row>
    <row r="910" spans="1:10">
      <c r="A910">
        <v>1399</v>
      </c>
      <c r="B910" t="s">
        <v>1677</v>
      </c>
      <c r="C910" t="s">
        <v>1118</v>
      </c>
      <c r="D910">
        <v>59865</v>
      </c>
      <c r="E910" t="s">
        <v>600</v>
      </c>
      <c r="F910" t="s">
        <v>17</v>
      </c>
      <c r="G910" t="str">
        <f t="shared" si="28"/>
        <v>Yes</v>
      </c>
      <c r="H910">
        <f t="shared" si="29"/>
        <v>40</v>
      </c>
      <c r="I910" s="1">
        <f>IF(COUNTIF('Transaction Data'!A:A,A910)&gt;5,20,0)+IF(COUNTIFS('Transaction Data'!A:A,A910,'Transaction Data'!G:G,"Yes")&gt;2,30,0)</f>
        <v>30</v>
      </c>
      <c r="J910">
        <f>'Client Master Data'!I910+'Client Master Data'!J910+H910+I910</f>
        <v>70</v>
      </c>
    </row>
    <row r="911" spans="1:10">
      <c r="A911">
        <v>1348</v>
      </c>
      <c r="B911" t="s">
        <v>1678</v>
      </c>
      <c r="C911" t="s">
        <v>1133</v>
      </c>
      <c r="D911">
        <v>69089</v>
      </c>
      <c r="E911" t="s">
        <v>600</v>
      </c>
      <c r="F911" t="s">
        <v>27</v>
      </c>
      <c r="G911" t="str">
        <f t="shared" si="28"/>
        <v>No</v>
      </c>
      <c r="H911">
        <f t="shared" si="29"/>
        <v>0</v>
      </c>
      <c r="I911" s="1">
        <f>IF(COUNTIF('Transaction Data'!A:A,A911)&gt;5,20,0)+IF(COUNTIFS('Transaction Data'!A:A,A911,'Transaction Data'!G:G,"Yes")&gt;2,30,0)</f>
        <v>0</v>
      </c>
      <c r="J911">
        <f>'Client Master Data'!I911+'Client Master Data'!J911+H911+I911</f>
        <v>0</v>
      </c>
    </row>
    <row r="912" spans="1:10">
      <c r="A912">
        <v>1308</v>
      </c>
      <c r="B912" t="s">
        <v>1679</v>
      </c>
      <c r="C912" t="s">
        <v>682</v>
      </c>
      <c r="D912">
        <v>343562</v>
      </c>
      <c r="E912" t="s">
        <v>588</v>
      </c>
      <c r="F912" t="s">
        <v>17</v>
      </c>
      <c r="G912" t="str">
        <f t="shared" si="28"/>
        <v>Yes</v>
      </c>
      <c r="H912">
        <f t="shared" si="29"/>
        <v>70</v>
      </c>
      <c r="I912" s="1">
        <f>IF(COUNTIF('Transaction Data'!A:A,A912)&gt;5,20,0)+IF(COUNTIFS('Transaction Data'!A:A,A912,'Transaction Data'!G:G,"Yes")&gt;2,30,0)</f>
        <v>0</v>
      </c>
      <c r="J912">
        <f>'Client Master Data'!I912+'Client Master Data'!J912+H912+I912</f>
        <v>70</v>
      </c>
    </row>
    <row r="913" spans="1:10">
      <c r="A913">
        <v>1262</v>
      </c>
      <c r="B913" t="s">
        <v>1680</v>
      </c>
      <c r="C913" t="s">
        <v>1194</v>
      </c>
      <c r="D913">
        <v>417593</v>
      </c>
      <c r="E913" t="s">
        <v>593</v>
      </c>
      <c r="F913" t="s">
        <v>17</v>
      </c>
      <c r="G913" t="str">
        <f t="shared" si="28"/>
        <v>Yes</v>
      </c>
      <c r="H913">
        <f t="shared" si="29"/>
        <v>70</v>
      </c>
      <c r="I913" s="1">
        <f>IF(COUNTIF('Transaction Data'!A:A,A913)&gt;5,20,0)+IF(COUNTIFS('Transaction Data'!A:A,A913,'Transaction Data'!G:G,"Yes")&gt;2,30,0)</f>
        <v>30</v>
      </c>
      <c r="J913">
        <f>'Client Master Data'!I913+'Client Master Data'!J913+H913+I913</f>
        <v>100</v>
      </c>
    </row>
    <row r="914" spans="1:10">
      <c r="A914">
        <v>1314</v>
      </c>
      <c r="B914" t="s">
        <v>1681</v>
      </c>
      <c r="C914" t="s">
        <v>604</v>
      </c>
      <c r="D914">
        <v>410548</v>
      </c>
      <c r="E914" t="s">
        <v>593</v>
      </c>
      <c r="F914" t="s">
        <v>17</v>
      </c>
      <c r="G914" t="str">
        <f t="shared" si="28"/>
        <v>Yes</v>
      </c>
      <c r="H914">
        <f t="shared" si="29"/>
        <v>70</v>
      </c>
      <c r="I914" s="1">
        <f>IF(COUNTIF('Transaction Data'!A:A,A914)&gt;5,20,0)+IF(COUNTIFS('Transaction Data'!A:A,A914,'Transaction Data'!G:G,"Yes")&gt;2,30,0)</f>
        <v>30</v>
      </c>
      <c r="J914">
        <f>'Client Master Data'!I914+'Client Master Data'!J914+H914+I914</f>
        <v>100</v>
      </c>
    </row>
    <row r="915" spans="1:10">
      <c r="A915">
        <v>1479</v>
      </c>
      <c r="B915" t="s">
        <v>1682</v>
      </c>
      <c r="C915" t="s">
        <v>658</v>
      </c>
      <c r="D915">
        <v>1693</v>
      </c>
      <c r="E915" t="s">
        <v>588</v>
      </c>
      <c r="F915" t="s">
        <v>11</v>
      </c>
      <c r="G915" t="str">
        <f t="shared" si="28"/>
        <v>No</v>
      </c>
      <c r="H915">
        <f t="shared" si="29"/>
        <v>0</v>
      </c>
      <c r="I915" s="1">
        <f>IF(COUNTIF('Transaction Data'!A:A,A915)&gt;5,20,0)+IF(COUNTIFS('Transaction Data'!A:A,A915,'Transaction Data'!G:G,"Yes")&gt;2,30,0)</f>
        <v>0</v>
      </c>
      <c r="J915">
        <f>'Client Master Data'!I915+'Client Master Data'!J915+H915+I915</f>
        <v>0</v>
      </c>
    </row>
    <row r="916" spans="1:10">
      <c r="A916">
        <v>1398</v>
      </c>
      <c r="B916" t="s">
        <v>1683</v>
      </c>
      <c r="C916" t="s">
        <v>610</v>
      </c>
      <c r="D916">
        <v>276123</v>
      </c>
      <c r="E916" t="s">
        <v>588</v>
      </c>
      <c r="F916" t="s">
        <v>17</v>
      </c>
      <c r="G916" t="str">
        <f t="shared" si="28"/>
        <v>Yes</v>
      </c>
      <c r="H916">
        <f t="shared" si="29"/>
        <v>70</v>
      </c>
      <c r="I916" s="1">
        <f>IF(COUNTIF('Transaction Data'!A:A,A916)&gt;5,20,0)+IF(COUNTIFS('Transaction Data'!A:A,A916,'Transaction Data'!G:G,"Yes")&gt;2,30,0)</f>
        <v>0</v>
      </c>
      <c r="J916">
        <f>'Client Master Data'!I916+'Client Master Data'!J916+H916+I916</f>
        <v>70</v>
      </c>
    </row>
    <row r="917" spans="1:10">
      <c r="A917">
        <v>1269</v>
      </c>
      <c r="B917" t="s">
        <v>1684</v>
      </c>
      <c r="C917" t="s">
        <v>713</v>
      </c>
      <c r="D917">
        <v>5949</v>
      </c>
      <c r="E917" t="s">
        <v>600</v>
      </c>
      <c r="F917" t="s">
        <v>11</v>
      </c>
      <c r="G917" t="str">
        <f t="shared" si="28"/>
        <v>No</v>
      </c>
      <c r="H917">
        <f t="shared" si="29"/>
        <v>0</v>
      </c>
      <c r="I917" s="1">
        <f>IF(COUNTIF('Transaction Data'!A:A,A917)&gt;5,20,0)+IF(COUNTIFS('Transaction Data'!A:A,A917,'Transaction Data'!G:G,"Yes")&gt;2,30,0)</f>
        <v>0</v>
      </c>
      <c r="J917">
        <f>'Client Master Data'!I917+'Client Master Data'!J917+H917+I917</f>
        <v>0</v>
      </c>
    </row>
    <row r="918" spans="1:10">
      <c r="A918">
        <v>1430</v>
      </c>
      <c r="B918" t="s">
        <v>1685</v>
      </c>
      <c r="C918" t="s">
        <v>778</v>
      </c>
      <c r="D918">
        <v>315057</v>
      </c>
      <c r="E918" t="s">
        <v>593</v>
      </c>
      <c r="F918" t="s">
        <v>39</v>
      </c>
      <c r="G918" t="str">
        <f t="shared" si="28"/>
        <v>Yes</v>
      </c>
      <c r="H918">
        <f t="shared" si="29"/>
        <v>70</v>
      </c>
      <c r="I918" s="1">
        <f>IF(COUNTIF('Transaction Data'!A:A,A918)&gt;5,20,0)+IF(COUNTIFS('Transaction Data'!A:A,A918,'Transaction Data'!G:G,"Yes")&gt;2,30,0)</f>
        <v>30</v>
      </c>
      <c r="J918">
        <f>'Client Master Data'!I918+'Client Master Data'!J918+H918+I918</f>
        <v>100</v>
      </c>
    </row>
    <row r="919" spans="1:10">
      <c r="A919">
        <v>1250</v>
      </c>
      <c r="B919" t="s">
        <v>1686</v>
      </c>
      <c r="C919" t="s">
        <v>747</v>
      </c>
      <c r="D919">
        <v>96180</v>
      </c>
      <c r="E919" t="s">
        <v>593</v>
      </c>
      <c r="F919" t="s">
        <v>54</v>
      </c>
      <c r="G919" t="str">
        <f t="shared" si="28"/>
        <v>Yes</v>
      </c>
      <c r="H919">
        <f t="shared" si="29"/>
        <v>40</v>
      </c>
      <c r="I919" s="1">
        <f>IF(COUNTIF('Transaction Data'!A:A,A919)&gt;5,20,0)+IF(COUNTIFS('Transaction Data'!A:A,A919,'Transaction Data'!G:G,"Yes")&gt;2,30,0)</f>
        <v>30</v>
      </c>
      <c r="J919">
        <f>'Client Master Data'!I919+'Client Master Data'!J919+H919+I919</f>
        <v>70</v>
      </c>
    </row>
    <row r="920" spans="1:10">
      <c r="A920">
        <v>1384</v>
      </c>
      <c r="B920" t="s">
        <v>1687</v>
      </c>
      <c r="C920" t="s">
        <v>760</v>
      </c>
      <c r="D920">
        <v>132467</v>
      </c>
      <c r="E920" t="s">
        <v>593</v>
      </c>
      <c r="F920" t="s">
        <v>11</v>
      </c>
      <c r="G920" t="str">
        <f t="shared" si="28"/>
        <v>Yes</v>
      </c>
      <c r="H920">
        <f t="shared" si="29"/>
        <v>70</v>
      </c>
      <c r="I920" s="1">
        <f>IF(COUNTIF('Transaction Data'!A:A,A920)&gt;5,20,0)+IF(COUNTIFS('Transaction Data'!A:A,A920,'Transaction Data'!G:G,"Yes")&gt;2,30,0)</f>
        <v>0</v>
      </c>
      <c r="J920">
        <f>'Client Master Data'!I920+'Client Master Data'!J920+H920+I920</f>
        <v>70</v>
      </c>
    </row>
    <row r="921" spans="1:10">
      <c r="A921">
        <v>1540</v>
      </c>
      <c r="B921" t="s">
        <v>1688</v>
      </c>
      <c r="C921" t="s">
        <v>756</v>
      </c>
      <c r="D921">
        <v>321463</v>
      </c>
      <c r="E921" t="s">
        <v>593</v>
      </c>
      <c r="F921" t="s">
        <v>23</v>
      </c>
      <c r="G921" t="str">
        <f t="shared" si="28"/>
        <v>Yes</v>
      </c>
      <c r="H921">
        <f t="shared" si="29"/>
        <v>70</v>
      </c>
      <c r="I921" s="1">
        <f>IF(COUNTIF('Transaction Data'!A:A,A921)&gt;5,20,0)+IF(COUNTIFS('Transaction Data'!A:A,A921,'Transaction Data'!G:G,"Yes")&gt;2,30,0)</f>
        <v>0</v>
      </c>
      <c r="J921">
        <f>'Client Master Data'!I921+'Client Master Data'!J921+H921+I921</f>
        <v>70</v>
      </c>
    </row>
    <row r="922" spans="1:10">
      <c r="A922">
        <v>1089</v>
      </c>
      <c r="B922" t="s">
        <v>1689</v>
      </c>
      <c r="C922" t="s">
        <v>731</v>
      </c>
      <c r="D922">
        <v>92124</v>
      </c>
      <c r="E922" t="s">
        <v>593</v>
      </c>
      <c r="F922" t="s">
        <v>39</v>
      </c>
      <c r="G922" t="str">
        <f t="shared" si="28"/>
        <v>No</v>
      </c>
      <c r="H922">
        <f t="shared" si="29"/>
        <v>0</v>
      </c>
      <c r="I922" s="1">
        <f>IF(COUNTIF('Transaction Data'!A:A,A922)&gt;5,20,0)+IF(COUNTIFS('Transaction Data'!A:A,A922,'Transaction Data'!G:G,"Yes")&gt;2,30,0)</f>
        <v>30</v>
      </c>
      <c r="J922">
        <f>'Client Master Data'!I922+'Client Master Data'!J922+H922+I922</f>
        <v>30</v>
      </c>
    </row>
    <row r="923" spans="1:10">
      <c r="A923">
        <v>1538</v>
      </c>
      <c r="B923" t="s">
        <v>1690</v>
      </c>
      <c r="C923" t="s">
        <v>876</v>
      </c>
      <c r="D923">
        <v>173531</v>
      </c>
      <c r="E923" t="s">
        <v>593</v>
      </c>
      <c r="F923" t="s">
        <v>54</v>
      </c>
      <c r="G923" t="str">
        <f t="shared" si="28"/>
        <v>Yes</v>
      </c>
      <c r="H923">
        <f t="shared" si="29"/>
        <v>70</v>
      </c>
      <c r="I923" s="1">
        <f>IF(COUNTIF('Transaction Data'!A:A,A923)&gt;5,20,0)+IF(COUNTIFS('Transaction Data'!A:A,A923,'Transaction Data'!G:G,"Yes")&gt;2,30,0)</f>
        <v>0</v>
      </c>
      <c r="J923">
        <f>'Client Master Data'!I923+'Client Master Data'!J923+H923+I923</f>
        <v>70</v>
      </c>
    </row>
    <row r="924" spans="1:10">
      <c r="A924">
        <v>1128</v>
      </c>
      <c r="B924" t="s">
        <v>1691</v>
      </c>
      <c r="C924" t="s">
        <v>614</v>
      </c>
      <c r="D924">
        <v>150946</v>
      </c>
      <c r="E924" t="s">
        <v>593</v>
      </c>
      <c r="F924" t="s">
        <v>11</v>
      </c>
      <c r="G924" t="str">
        <f t="shared" si="28"/>
        <v>Yes</v>
      </c>
      <c r="H924">
        <f t="shared" si="29"/>
        <v>70</v>
      </c>
      <c r="I924" s="1">
        <f>IF(COUNTIF('Transaction Data'!A:A,A924)&gt;5,20,0)+IF(COUNTIFS('Transaction Data'!A:A,A924,'Transaction Data'!G:G,"Yes")&gt;2,30,0)</f>
        <v>0</v>
      </c>
      <c r="J924">
        <f>'Client Master Data'!I924+'Client Master Data'!J924+H924+I924</f>
        <v>70</v>
      </c>
    </row>
    <row r="925" spans="1:10">
      <c r="A925">
        <v>1082</v>
      </c>
      <c r="B925" t="s">
        <v>1692</v>
      </c>
      <c r="C925" t="s">
        <v>1056</v>
      </c>
      <c r="D925">
        <v>102148</v>
      </c>
      <c r="E925" t="s">
        <v>600</v>
      </c>
      <c r="F925" t="s">
        <v>17</v>
      </c>
      <c r="G925" t="str">
        <f t="shared" si="28"/>
        <v>Yes</v>
      </c>
      <c r="H925">
        <f t="shared" si="29"/>
        <v>70</v>
      </c>
      <c r="I925" s="1">
        <f>IF(COUNTIF('Transaction Data'!A:A,A925)&gt;5,20,0)+IF(COUNTIFS('Transaction Data'!A:A,A925,'Transaction Data'!G:G,"Yes")&gt;2,30,0)</f>
        <v>0</v>
      </c>
      <c r="J925">
        <f>'Client Master Data'!I925+'Client Master Data'!J925+H925+I925</f>
        <v>70</v>
      </c>
    </row>
    <row r="926" spans="1:10">
      <c r="A926">
        <v>1253</v>
      </c>
      <c r="B926" t="s">
        <v>1693</v>
      </c>
      <c r="C926" t="s">
        <v>687</v>
      </c>
      <c r="D926">
        <v>436145</v>
      </c>
      <c r="E926" t="s">
        <v>600</v>
      </c>
      <c r="F926" t="s">
        <v>27</v>
      </c>
      <c r="G926" t="str">
        <f t="shared" si="28"/>
        <v>Yes</v>
      </c>
      <c r="H926">
        <f t="shared" si="29"/>
        <v>70</v>
      </c>
      <c r="I926" s="1">
        <f>IF(COUNTIF('Transaction Data'!A:A,A926)&gt;5,20,0)+IF(COUNTIFS('Transaction Data'!A:A,A926,'Transaction Data'!G:G,"Yes")&gt;2,30,0)</f>
        <v>0</v>
      </c>
      <c r="J926">
        <f>'Client Master Data'!I926+'Client Master Data'!J926+H926+I926</f>
        <v>70</v>
      </c>
    </row>
    <row r="927" spans="1:10">
      <c r="A927">
        <v>1235</v>
      </c>
      <c r="B927" t="s">
        <v>1694</v>
      </c>
      <c r="C927" t="s">
        <v>631</v>
      </c>
      <c r="D927">
        <v>41750</v>
      </c>
      <c r="E927" t="s">
        <v>600</v>
      </c>
      <c r="F927" t="s">
        <v>11</v>
      </c>
      <c r="G927" t="str">
        <f t="shared" si="28"/>
        <v>No</v>
      </c>
      <c r="H927">
        <f t="shared" si="29"/>
        <v>0</v>
      </c>
      <c r="I927" s="1">
        <f>IF(COUNTIF('Transaction Data'!A:A,A927)&gt;5,20,0)+IF(COUNTIFS('Transaction Data'!A:A,A927,'Transaction Data'!G:G,"Yes")&gt;2,30,0)</f>
        <v>30</v>
      </c>
      <c r="J927">
        <f>'Client Master Data'!I927+'Client Master Data'!J927+H927+I927</f>
        <v>30</v>
      </c>
    </row>
    <row r="928" spans="1:10">
      <c r="A928">
        <v>1023</v>
      </c>
      <c r="B928" t="s">
        <v>1695</v>
      </c>
      <c r="C928" t="s">
        <v>606</v>
      </c>
      <c r="D928">
        <v>387586</v>
      </c>
      <c r="E928" t="s">
        <v>600</v>
      </c>
      <c r="F928" t="s">
        <v>27</v>
      </c>
      <c r="G928" t="str">
        <f t="shared" si="28"/>
        <v>Yes</v>
      </c>
      <c r="H928">
        <f t="shared" si="29"/>
        <v>70</v>
      </c>
      <c r="I928" s="1">
        <f>IF(COUNTIF('Transaction Data'!A:A,A928)&gt;5,20,0)+IF(COUNTIFS('Transaction Data'!A:A,A928,'Transaction Data'!G:G,"Yes")&gt;2,30,0)</f>
        <v>0</v>
      </c>
      <c r="J928">
        <f>'Client Master Data'!I928+'Client Master Data'!J928+H928+I928</f>
        <v>70</v>
      </c>
    </row>
    <row r="929" spans="1:10">
      <c r="A929">
        <v>1075</v>
      </c>
      <c r="B929" t="s">
        <v>1696</v>
      </c>
      <c r="C929" t="s">
        <v>973</v>
      </c>
      <c r="D929">
        <v>416780</v>
      </c>
      <c r="E929" t="s">
        <v>588</v>
      </c>
      <c r="F929" t="s">
        <v>11</v>
      </c>
      <c r="G929" t="str">
        <f t="shared" si="28"/>
        <v>Yes</v>
      </c>
      <c r="H929">
        <f t="shared" si="29"/>
        <v>70</v>
      </c>
      <c r="I929" s="1">
        <f>IF(COUNTIF('Transaction Data'!A:A,A929)&gt;5,20,0)+IF(COUNTIFS('Transaction Data'!A:A,A929,'Transaction Data'!G:G,"Yes")&gt;2,30,0)</f>
        <v>30</v>
      </c>
      <c r="J929">
        <f>'Client Master Data'!I929+'Client Master Data'!J929+H929+I929</f>
        <v>100</v>
      </c>
    </row>
    <row r="930" spans="1:10">
      <c r="A930">
        <v>1466</v>
      </c>
      <c r="B930" t="s">
        <v>1697</v>
      </c>
      <c r="C930" t="s">
        <v>623</v>
      </c>
      <c r="D930">
        <v>388231</v>
      </c>
      <c r="E930" t="s">
        <v>600</v>
      </c>
      <c r="F930" t="s">
        <v>27</v>
      </c>
      <c r="G930" t="str">
        <f t="shared" si="28"/>
        <v>Yes</v>
      </c>
      <c r="H930">
        <f t="shared" si="29"/>
        <v>70</v>
      </c>
      <c r="I930" s="1">
        <f>IF(COUNTIF('Transaction Data'!A:A,A930)&gt;5,20,0)+IF(COUNTIFS('Transaction Data'!A:A,A930,'Transaction Data'!G:G,"Yes")&gt;2,30,0)</f>
        <v>0</v>
      </c>
      <c r="J930">
        <f>'Client Master Data'!I930+'Client Master Data'!J930+H930+I930</f>
        <v>70</v>
      </c>
    </row>
    <row r="931" spans="1:10">
      <c r="A931">
        <v>1461</v>
      </c>
      <c r="B931" t="s">
        <v>1698</v>
      </c>
      <c r="C931" t="s">
        <v>648</v>
      </c>
      <c r="D931">
        <v>431662</v>
      </c>
      <c r="E931" t="s">
        <v>600</v>
      </c>
      <c r="F931" t="s">
        <v>54</v>
      </c>
      <c r="G931" t="str">
        <f t="shared" si="28"/>
        <v>Yes</v>
      </c>
      <c r="H931">
        <f t="shared" si="29"/>
        <v>70</v>
      </c>
      <c r="I931" s="1">
        <f>IF(COUNTIF('Transaction Data'!A:A,A931)&gt;5,20,0)+IF(COUNTIFS('Transaction Data'!A:A,A931,'Transaction Data'!G:G,"Yes")&gt;2,30,0)</f>
        <v>0</v>
      </c>
      <c r="J931">
        <f>'Client Master Data'!I931+'Client Master Data'!J931+H931+I931</f>
        <v>70</v>
      </c>
    </row>
    <row r="932" spans="1:10">
      <c r="A932">
        <v>1362</v>
      </c>
      <c r="B932" t="s">
        <v>1699</v>
      </c>
      <c r="C932" t="s">
        <v>881</v>
      </c>
      <c r="D932">
        <v>261986</v>
      </c>
      <c r="E932" t="s">
        <v>600</v>
      </c>
      <c r="F932" t="s">
        <v>17</v>
      </c>
      <c r="G932" t="str">
        <f t="shared" si="28"/>
        <v>Yes</v>
      </c>
      <c r="H932">
        <f t="shared" si="29"/>
        <v>70</v>
      </c>
      <c r="I932" s="1">
        <f>IF(COUNTIF('Transaction Data'!A:A,A932)&gt;5,20,0)+IF(COUNTIFS('Transaction Data'!A:A,A932,'Transaction Data'!G:G,"Yes")&gt;2,30,0)</f>
        <v>0</v>
      </c>
      <c r="J932">
        <f>'Client Master Data'!I932+'Client Master Data'!J932+H932+I932</f>
        <v>70</v>
      </c>
    </row>
    <row r="933" spans="1:10">
      <c r="A933">
        <v>1534</v>
      </c>
      <c r="B933" t="s">
        <v>1700</v>
      </c>
      <c r="C933" t="s">
        <v>762</v>
      </c>
      <c r="D933">
        <v>258308</v>
      </c>
      <c r="E933" t="s">
        <v>588</v>
      </c>
      <c r="F933" t="s">
        <v>27</v>
      </c>
      <c r="G933" t="str">
        <f t="shared" si="28"/>
        <v>Yes</v>
      </c>
      <c r="H933">
        <f t="shared" si="29"/>
        <v>70</v>
      </c>
      <c r="I933" s="1">
        <f>IF(COUNTIF('Transaction Data'!A:A,A933)&gt;5,20,0)+IF(COUNTIFS('Transaction Data'!A:A,A933,'Transaction Data'!G:G,"Yes")&gt;2,30,0)</f>
        <v>0</v>
      </c>
      <c r="J933">
        <f>'Client Master Data'!I933+'Client Master Data'!J933+H933+I933</f>
        <v>70</v>
      </c>
    </row>
    <row r="934" spans="1:10">
      <c r="A934">
        <v>1463</v>
      </c>
      <c r="B934" t="s">
        <v>1701</v>
      </c>
      <c r="C934" t="s">
        <v>713</v>
      </c>
      <c r="D934">
        <v>361704</v>
      </c>
      <c r="E934" t="s">
        <v>593</v>
      </c>
      <c r="F934" t="s">
        <v>27</v>
      </c>
      <c r="G934" t="str">
        <f t="shared" si="28"/>
        <v>Yes</v>
      </c>
      <c r="H934">
        <f t="shared" si="29"/>
        <v>70</v>
      </c>
      <c r="I934" s="1">
        <f>IF(COUNTIF('Transaction Data'!A:A,A934)&gt;5,20,0)+IF(COUNTIFS('Transaction Data'!A:A,A934,'Transaction Data'!G:G,"Yes")&gt;2,30,0)</f>
        <v>0</v>
      </c>
      <c r="J934">
        <f>'Client Master Data'!I934+'Client Master Data'!J934+H934+I934</f>
        <v>70</v>
      </c>
    </row>
    <row r="935" spans="1:10">
      <c r="A935">
        <v>1182</v>
      </c>
      <c r="B935" t="s">
        <v>1702</v>
      </c>
      <c r="C935" t="s">
        <v>847</v>
      </c>
      <c r="D935">
        <v>215827</v>
      </c>
      <c r="E935" t="s">
        <v>593</v>
      </c>
      <c r="F935" t="s">
        <v>17</v>
      </c>
      <c r="G935" t="str">
        <f t="shared" si="28"/>
        <v>Yes</v>
      </c>
      <c r="H935">
        <f t="shared" si="29"/>
        <v>70</v>
      </c>
      <c r="I935" s="1">
        <f>IF(COUNTIF('Transaction Data'!A:A,A935)&gt;5,20,0)+IF(COUNTIFS('Transaction Data'!A:A,A935,'Transaction Data'!G:G,"Yes")&gt;2,30,0)</f>
        <v>0</v>
      </c>
      <c r="J935">
        <f>'Client Master Data'!I935+'Client Master Data'!J935+H935+I935</f>
        <v>70</v>
      </c>
    </row>
    <row r="936" spans="1:10">
      <c r="A936">
        <v>1478</v>
      </c>
      <c r="B936" t="s">
        <v>1703</v>
      </c>
      <c r="C936" t="s">
        <v>785</v>
      </c>
      <c r="D936">
        <v>320549</v>
      </c>
      <c r="E936" t="s">
        <v>593</v>
      </c>
      <c r="F936" t="s">
        <v>39</v>
      </c>
      <c r="G936" t="str">
        <f t="shared" si="28"/>
        <v>Yes</v>
      </c>
      <c r="H936">
        <f t="shared" si="29"/>
        <v>70</v>
      </c>
      <c r="I936" s="1">
        <f>IF(COUNTIF('Transaction Data'!A:A,A936)&gt;5,20,0)+IF(COUNTIFS('Transaction Data'!A:A,A936,'Transaction Data'!G:G,"Yes")&gt;2,30,0)</f>
        <v>0</v>
      </c>
      <c r="J936">
        <f>'Client Master Data'!I936+'Client Master Data'!J936+H936+I936</f>
        <v>70</v>
      </c>
    </row>
    <row r="937" spans="1:10">
      <c r="A937">
        <v>1488</v>
      </c>
      <c r="B937" t="s">
        <v>1704</v>
      </c>
      <c r="C937" t="s">
        <v>1019</v>
      </c>
      <c r="D937">
        <v>291749</v>
      </c>
      <c r="E937" t="s">
        <v>593</v>
      </c>
      <c r="F937" t="s">
        <v>17</v>
      </c>
      <c r="G937" t="str">
        <f t="shared" si="28"/>
        <v>Yes</v>
      </c>
      <c r="H937">
        <f t="shared" si="29"/>
        <v>70</v>
      </c>
      <c r="I937" s="1">
        <f>IF(COUNTIF('Transaction Data'!A:A,A937)&gt;5,20,0)+IF(COUNTIFS('Transaction Data'!A:A,A937,'Transaction Data'!G:G,"Yes")&gt;2,30,0)</f>
        <v>0</v>
      </c>
      <c r="J937">
        <f>'Client Master Data'!I937+'Client Master Data'!J937+H937+I937</f>
        <v>70</v>
      </c>
    </row>
    <row r="938" spans="1:10">
      <c r="A938">
        <v>1464</v>
      </c>
      <c r="B938" t="s">
        <v>1705</v>
      </c>
      <c r="C938" t="s">
        <v>1234</v>
      </c>
      <c r="D938">
        <v>12539</v>
      </c>
      <c r="E938" t="s">
        <v>600</v>
      </c>
      <c r="F938" t="s">
        <v>23</v>
      </c>
      <c r="G938" t="str">
        <f t="shared" si="28"/>
        <v>No</v>
      </c>
      <c r="H938">
        <f t="shared" si="29"/>
        <v>0</v>
      </c>
      <c r="I938" s="1">
        <f>IF(COUNTIF('Transaction Data'!A:A,A938)&gt;5,20,0)+IF(COUNTIFS('Transaction Data'!A:A,A938,'Transaction Data'!G:G,"Yes")&gt;2,30,0)</f>
        <v>50</v>
      </c>
      <c r="J938">
        <f>'Client Master Data'!I938+'Client Master Data'!J938+H938+I938</f>
        <v>50</v>
      </c>
    </row>
    <row r="939" spans="1:10">
      <c r="A939">
        <v>1175</v>
      </c>
      <c r="B939" t="s">
        <v>1706</v>
      </c>
      <c r="C939" t="s">
        <v>851</v>
      </c>
      <c r="D939">
        <v>156038</v>
      </c>
      <c r="E939" t="s">
        <v>593</v>
      </c>
      <c r="F939" t="s">
        <v>17</v>
      </c>
      <c r="G939" t="str">
        <f t="shared" si="28"/>
        <v>Yes</v>
      </c>
      <c r="H939">
        <f t="shared" si="29"/>
        <v>70</v>
      </c>
      <c r="I939" s="1">
        <f>IF(COUNTIF('Transaction Data'!A:A,A939)&gt;5,20,0)+IF(COUNTIFS('Transaction Data'!A:A,A939,'Transaction Data'!G:G,"Yes")&gt;2,30,0)</f>
        <v>0</v>
      </c>
      <c r="J939">
        <f>'Client Master Data'!I939+'Client Master Data'!J939+H939+I939</f>
        <v>70</v>
      </c>
    </row>
    <row r="940" spans="1:10">
      <c r="A940">
        <v>1464</v>
      </c>
      <c r="B940" t="s">
        <v>1707</v>
      </c>
      <c r="C940" t="s">
        <v>888</v>
      </c>
      <c r="D940">
        <v>109217</v>
      </c>
      <c r="E940" t="s">
        <v>588</v>
      </c>
      <c r="F940" t="s">
        <v>17</v>
      </c>
      <c r="G940" t="str">
        <f t="shared" si="28"/>
        <v>Yes</v>
      </c>
      <c r="H940">
        <f t="shared" si="29"/>
        <v>70</v>
      </c>
      <c r="I940" s="1">
        <f>IF(COUNTIF('Transaction Data'!A:A,A940)&gt;5,20,0)+IF(COUNTIFS('Transaction Data'!A:A,A940,'Transaction Data'!G:G,"Yes")&gt;2,30,0)</f>
        <v>50</v>
      </c>
      <c r="J940">
        <f>'Client Master Data'!I940+'Client Master Data'!J940+H940+I940</f>
        <v>120</v>
      </c>
    </row>
    <row r="941" spans="1:10">
      <c r="A941">
        <v>1034</v>
      </c>
      <c r="B941" t="s">
        <v>1708</v>
      </c>
      <c r="C941" t="s">
        <v>881</v>
      </c>
      <c r="D941">
        <v>280744</v>
      </c>
      <c r="E941" t="s">
        <v>593</v>
      </c>
      <c r="F941" t="s">
        <v>23</v>
      </c>
      <c r="G941" t="str">
        <f t="shared" si="28"/>
        <v>Yes</v>
      </c>
      <c r="H941">
        <f t="shared" si="29"/>
        <v>70</v>
      </c>
      <c r="I941" s="1">
        <f>IF(COUNTIF('Transaction Data'!A:A,A941)&gt;5,20,0)+IF(COUNTIFS('Transaction Data'!A:A,A941,'Transaction Data'!G:G,"Yes")&gt;2,30,0)</f>
        <v>0</v>
      </c>
      <c r="J941">
        <f>'Client Master Data'!I941+'Client Master Data'!J941+H941+I941</f>
        <v>70</v>
      </c>
    </row>
    <row r="942" spans="1:10">
      <c r="A942">
        <v>1222</v>
      </c>
      <c r="B942" t="s">
        <v>1709</v>
      </c>
      <c r="C942" t="s">
        <v>614</v>
      </c>
      <c r="D942">
        <v>382485</v>
      </c>
      <c r="E942" t="s">
        <v>588</v>
      </c>
      <c r="F942" t="s">
        <v>54</v>
      </c>
      <c r="G942" t="str">
        <f t="shared" si="28"/>
        <v>Yes</v>
      </c>
      <c r="H942">
        <f t="shared" si="29"/>
        <v>70</v>
      </c>
      <c r="I942" s="1">
        <f>IF(COUNTIF('Transaction Data'!A:A,A942)&gt;5,20,0)+IF(COUNTIFS('Transaction Data'!A:A,A942,'Transaction Data'!G:G,"Yes")&gt;2,30,0)</f>
        <v>0</v>
      </c>
      <c r="J942">
        <f>'Client Master Data'!I942+'Client Master Data'!J942+H942+I942</f>
        <v>70</v>
      </c>
    </row>
    <row r="943" spans="1:10">
      <c r="A943">
        <v>1245</v>
      </c>
      <c r="B943" t="s">
        <v>1710</v>
      </c>
      <c r="C943" t="s">
        <v>1182</v>
      </c>
      <c r="D943">
        <v>122623</v>
      </c>
      <c r="E943" t="s">
        <v>593</v>
      </c>
      <c r="F943" t="s">
        <v>54</v>
      </c>
      <c r="G943" t="str">
        <f t="shared" si="28"/>
        <v>Yes</v>
      </c>
      <c r="H943">
        <f t="shared" si="29"/>
        <v>70</v>
      </c>
      <c r="I943" s="1">
        <f>IF(COUNTIF('Transaction Data'!A:A,A943)&gt;5,20,0)+IF(COUNTIFS('Transaction Data'!A:A,A943,'Transaction Data'!G:G,"Yes")&gt;2,30,0)</f>
        <v>0</v>
      </c>
      <c r="J943">
        <f>'Client Master Data'!I943+'Client Master Data'!J943+H943+I943</f>
        <v>70</v>
      </c>
    </row>
    <row r="944" spans="1:10">
      <c r="A944">
        <v>1482</v>
      </c>
      <c r="B944" t="s">
        <v>1711</v>
      </c>
      <c r="C944" t="s">
        <v>698</v>
      </c>
      <c r="D944">
        <v>462338</v>
      </c>
      <c r="E944" t="s">
        <v>588</v>
      </c>
      <c r="F944" t="s">
        <v>39</v>
      </c>
      <c r="G944" t="str">
        <f t="shared" si="28"/>
        <v>Yes</v>
      </c>
      <c r="H944">
        <f t="shared" si="29"/>
        <v>70</v>
      </c>
      <c r="I944" s="1">
        <f>IF(COUNTIF('Transaction Data'!A:A,A944)&gt;5,20,0)+IF(COUNTIFS('Transaction Data'!A:A,A944,'Transaction Data'!G:G,"Yes")&gt;2,30,0)</f>
        <v>30</v>
      </c>
      <c r="J944">
        <f>'Client Master Data'!I944+'Client Master Data'!J944+H944+I944</f>
        <v>100</v>
      </c>
    </row>
    <row r="945" spans="1:10">
      <c r="A945">
        <v>1491</v>
      </c>
      <c r="B945" t="s">
        <v>1712</v>
      </c>
      <c r="C945" t="s">
        <v>807</v>
      </c>
      <c r="D945">
        <v>261562</v>
      </c>
      <c r="E945" t="s">
        <v>588</v>
      </c>
      <c r="F945" t="s">
        <v>54</v>
      </c>
      <c r="G945" t="str">
        <f t="shared" si="28"/>
        <v>Yes</v>
      </c>
      <c r="H945">
        <f t="shared" si="29"/>
        <v>70</v>
      </c>
      <c r="I945" s="1">
        <f>IF(COUNTIF('Transaction Data'!A:A,A945)&gt;5,20,0)+IF(COUNTIFS('Transaction Data'!A:A,A945,'Transaction Data'!G:G,"Yes")&gt;2,30,0)</f>
        <v>0</v>
      </c>
      <c r="J945">
        <f>'Client Master Data'!I945+'Client Master Data'!J945+H945+I945</f>
        <v>70</v>
      </c>
    </row>
    <row r="946" spans="1:10">
      <c r="A946">
        <v>1250</v>
      </c>
      <c r="B946" t="s">
        <v>1713</v>
      </c>
      <c r="C946" t="s">
        <v>1288</v>
      </c>
      <c r="D946">
        <v>205025</v>
      </c>
      <c r="E946" t="s">
        <v>600</v>
      </c>
      <c r="F946" t="s">
        <v>39</v>
      </c>
      <c r="G946" t="str">
        <f t="shared" si="28"/>
        <v>Yes</v>
      </c>
      <c r="H946">
        <f t="shared" si="29"/>
        <v>70</v>
      </c>
      <c r="I946" s="1">
        <f>IF(COUNTIF('Transaction Data'!A:A,A946)&gt;5,20,0)+IF(COUNTIFS('Transaction Data'!A:A,A946,'Transaction Data'!G:G,"Yes")&gt;2,30,0)</f>
        <v>30</v>
      </c>
      <c r="J946">
        <f>'Client Master Data'!I946+'Client Master Data'!J946+H946+I946</f>
        <v>100</v>
      </c>
    </row>
    <row r="947" spans="1:10">
      <c r="A947">
        <v>1430</v>
      </c>
      <c r="B947" t="s">
        <v>1714</v>
      </c>
      <c r="C947" t="s">
        <v>1127</v>
      </c>
      <c r="D947">
        <v>147219</v>
      </c>
      <c r="E947" t="s">
        <v>588</v>
      </c>
      <c r="F947" t="s">
        <v>27</v>
      </c>
      <c r="G947" t="str">
        <f t="shared" si="28"/>
        <v>Yes</v>
      </c>
      <c r="H947">
        <f t="shared" si="29"/>
        <v>70</v>
      </c>
      <c r="I947" s="1">
        <f>IF(COUNTIF('Transaction Data'!A:A,A947)&gt;5,20,0)+IF(COUNTIFS('Transaction Data'!A:A,A947,'Transaction Data'!G:G,"Yes")&gt;2,30,0)</f>
        <v>30</v>
      </c>
      <c r="J947">
        <f>'Client Master Data'!I947+'Client Master Data'!J947+H947+I947</f>
        <v>100</v>
      </c>
    </row>
    <row r="948" spans="1:10">
      <c r="A948">
        <v>1021</v>
      </c>
      <c r="B948" t="s">
        <v>1715</v>
      </c>
      <c r="C948" t="s">
        <v>1053</v>
      </c>
      <c r="D948">
        <v>153306</v>
      </c>
      <c r="E948" t="s">
        <v>600</v>
      </c>
      <c r="F948" t="s">
        <v>11</v>
      </c>
      <c r="G948" t="str">
        <f t="shared" si="28"/>
        <v>Yes</v>
      </c>
      <c r="H948">
        <f t="shared" si="29"/>
        <v>70</v>
      </c>
      <c r="I948" s="1">
        <f>IF(COUNTIF('Transaction Data'!A:A,A948)&gt;5,20,0)+IF(COUNTIFS('Transaction Data'!A:A,A948,'Transaction Data'!G:G,"Yes")&gt;2,30,0)</f>
        <v>0</v>
      </c>
      <c r="J948">
        <f>'Client Master Data'!I948+'Client Master Data'!J948+H948+I948</f>
        <v>70</v>
      </c>
    </row>
    <row r="949" spans="1:10">
      <c r="A949">
        <v>1497</v>
      </c>
      <c r="B949" t="s">
        <v>1716</v>
      </c>
      <c r="C949" t="s">
        <v>950</v>
      </c>
      <c r="D949">
        <v>387598</v>
      </c>
      <c r="E949" t="s">
        <v>588</v>
      </c>
      <c r="F949" t="s">
        <v>39</v>
      </c>
      <c r="G949" t="str">
        <f t="shared" si="28"/>
        <v>Yes</v>
      </c>
      <c r="H949">
        <f t="shared" si="29"/>
        <v>70</v>
      </c>
      <c r="I949" s="1">
        <f>IF(COUNTIF('Transaction Data'!A:A,A949)&gt;5,20,0)+IF(COUNTIFS('Transaction Data'!A:A,A949,'Transaction Data'!G:G,"Yes")&gt;2,30,0)</f>
        <v>30</v>
      </c>
      <c r="J949">
        <f>'Client Master Data'!I949+'Client Master Data'!J949+H949+I949</f>
        <v>100</v>
      </c>
    </row>
    <row r="950" spans="1:10">
      <c r="A950">
        <v>1120</v>
      </c>
      <c r="B950" t="s">
        <v>1717</v>
      </c>
      <c r="C950" t="s">
        <v>888</v>
      </c>
      <c r="D950">
        <v>288962</v>
      </c>
      <c r="E950" t="s">
        <v>593</v>
      </c>
      <c r="F950" t="s">
        <v>54</v>
      </c>
      <c r="G950" t="str">
        <f t="shared" si="28"/>
        <v>Yes</v>
      </c>
      <c r="H950">
        <f t="shared" si="29"/>
        <v>70</v>
      </c>
      <c r="I950" s="1">
        <f>IF(COUNTIF('Transaction Data'!A:A,A950)&gt;5,20,0)+IF(COUNTIFS('Transaction Data'!A:A,A950,'Transaction Data'!G:G,"Yes")&gt;2,30,0)</f>
        <v>30</v>
      </c>
      <c r="J950">
        <f>'Client Master Data'!I950+'Client Master Data'!J950+H950+I950</f>
        <v>100</v>
      </c>
    </row>
    <row r="951" spans="1:10">
      <c r="A951">
        <v>1543</v>
      </c>
      <c r="B951" t="s">
        <v>1718</v>
      </c>
      <c r="C951" t="s">
        <v>958</v>
      </c>
      <c r="D951">
        <v>463517</v>
      </c>
      <c r="E951" t="s">
        <v>600</v>
      </c>
      <c r="F951" t="s">
        <v>23</v>
      </c>
      <c r="G951" t="str">
        <f t="shared" si="28"/>
        <v>Yes</v>
      </c>
      <c r="H951">
        <f t="shared" si="29"/>
        <v>70</v>
      </c>
      <c r="I951" s="1">
        <f>IF(COUNTIF('Transaction Data'!A:A,A951)&gt;5,20,0)+IF(COUNTIFS('Transaction Data'!A:A,A951,'Transaction Data'!G:G,"Yes")&gt;2,30,0)</f>
        <v>30</v>
      </c>
      <c r="J951">
        <f>'Client Master Data'!I951+'Client Master Data'!J951+H951+I951</f>
        <v>100</v>
      </c>
    </row>
    <row r="952" spans="1:10">
      <c r="A952">
        <v>1235</v>
      </c>
      <c r="B952" t="s">
        <v>1719</v>
      </c>
      <c r="C952" t="s">
        <v>1224</v>
      </c>
      <c r="D952">
        <v>105398</v>
      </c>
      <c r="E952" t="s">
        <v>588</v>
      </c>
      <c r="F952" t="s">
        <v>17</v>
      </c>
      <c r="G952" t="str">
        <f t="shared" si="28"/>
        <v>Yes</v>
      </c>
      <c r="H952">
        <f t="shared" si="29"/>
        <v>70</v>
      </c>
      <c r="I952" s="1">
        <f>IF(COUNTIF('Transaction Data'!A:A,A952)&gt;5,20,0)+IF(COUNTIFS('Transaction Data'!A:A,A952,'Transaction Data'!G:G,"Yes")&gt;2,30,0)</f>
        <v>30</v>
      </c>
      <c r="J952">
        <f>'Client Master Data'!I952+'Client Master Data'!J952+H952+I952</f>
        <v>100</v>
      </c>
    </row>
    <row r="953" spans="1:10">
      <c r="A953">
        <v>1504</v>
      </c>
      <c r="B953" t="s">
        <v>1720</v>
      </c>
      <c r="C953" t="s">
        <v>592</v>
      </c>
      <c r="D953">
        <v>81597</v>
      </c>
      <c r="E953" t="s">
        <v>600</v>
      </c>
      <c r="F953" t="s">
        <v>23</v>
      </c>
      <c r="G953" t="str">
        <f t="shared" si="28"/>
        <v>No</v>
      </c>
      <c r="H953">
        <f t="shared" si="29"/>
        <v>0</v>
      </c>
      <c r="I953" s="1">
        <f>IF(COUNTIF('Transaction Data'!A:A,A953)&gt;5,20,0)+IF(COUNTIFS('Transaction Data'!A:A,A953,'Transaction Data'!G:G,"Yes")&gt;2,30,0)</f>
        <v>0</v>
      </c>
      <c r="J953">
        <f>'Client Master Data'!I953+'Client Master Data'!J953+H953+I953</f>
        <v>0</v>
      </c>
    </row>
    <row r="954" spans="1:10">
      <c r="A954">
        <v>1075</v>
      </c>
      <c r="B954" t="s">
        <v>1721</v>
      </c>
      <c r="C954" t="s">
        <v>792</v>
      </c>
      <c r="D954">
        <v>471675</v>
      </c>
      <c r="E954" t="s">
        <v>600</v>
      </c>
      <c r="F954" t="s">
        <v>11</v>
      </c>
      <c r="G954" t="str">
        <f t="shared" si="28"/>
        <v>Yes</v>
      </c>
      <c r="H954">
        <f t="shared" si="29"/>
        <v>70</v>
      </c>
      <c r="I954" s="1">
        <f>IF(COUNTIF('Transaction Data'!A:A,A954)&gt;5,20,0)+IF(COUNTIFS('Transaction Data'!A:A,A954,'Transaction Data'!G:G,"Yes")&gt;2,30,0)</f>
        <v>30</v>
      </c>
      <c r="J954">
        <f>'Client Master Data'!I954+'Client Master Data'!J954+H954+I954</f>
        <v>100</v>
      </c>
    </row>
    <row r="955" spans="1:10">
      <c r="A955">
        <v>1513</v>
      </c>
      <c r="B955" t="s">
        <v>1722</v>
      </c>
      <c r="C955" t="s">
        <v>608</v>
      </c>
      <c r="D955">
        <v>425539</v>
      </c>
      <c r="E955" t="s">
        <v>588</v>
      </c>
      <c r="F955" t="s">
        <v>23</v>
      </c>
      <c r="G955" t="str">
        <f t="shared" si="28"/>
        <v>Yes</v>
      </c>
      <c r="H955">
        <f t="shared" si="29"/>
        <v>70</v>
      </c>
      <c r="I955" s="1">
        <f>IF(COUNTIF('Transaction Data'!A:A,A955)&gt;5,20,0)+IF(COUNTIFS('Transaction Data'!A:A,A955,'Transaction Data'!G:G,"Yes")&gt;2,30,0)</f>
        <v>30</v>
      </c>
      <c r="J955">
        <f>'Client Master Data'!I955+'Client Master Data'!J955+H955+I955</f>
        <v>100</v>
      </c>
    </row>
    <row r="956" spans="1:10">
      <c r="A956">
        <v>1173</v>
      </c>
      <c r="B956" t="s">
        <v>1723</v>
      </c>
      <c r="C956" t="s">
        <v>1507</v>
      </c>
      <c r="D956">
        <v>274740</v>
      </c>
      <c r="E956" t="s">
        <v>588</v>
      </c>
      <c r="F956" t="s">
        <v>54</v>
      </c>
      <c r="G956" t="str">
        <f t="shared" si="28"/>
        <v>Yes</v>
      </c>
      <c r="H956">
        <f t="shared" si="29"/>
        <v>70</v>
      </c>
      <c r="I956" s="1">
        <f>IF(COUNTIF('Transaction Data'!A:A,A956)&gt;5,20,0)+IF(COUNTIFS('Transaction Data'!A:A,A956,'Transaction Data'!G:G,"Yes")&gt;2,30,0)</f>
        <v>30</v>
      </c>
      <c r="J956">
        <f>'Client Master Data'!I956+'Client Master Data'!J956+H956+I956</f>
        <v>100</v>
      </c>
    </row>
    <row r="957" spans="1:10">
      <c r="A957">
        <v>1039</v>
      </c>
      <c r="B957" t="s">
        <v>1724</v>
      </c>
      <c r="C957" t="s">
        <v>973</v>
      </c>
      <c r="D957">
        <v>211720</v>
      </c>
      <c r="E957" t="s">
        <v>600</v>
      </c>
      <c r="F957" t="s">
        <v>27</v>
      </c>
      <c r="G957" t="str">
        <f t="shared" si="28"/>
        <v>Yes</v>
      </c>
      <c r="H957">
        <f t="shared" si="29"/>
        <v>70</v>
      </c>
      <c r="I957" s="1">
        <f>IF(COUNTIF('Transaction Data'!A:A,A957)&gt;5,20,0)+IF(COUNTIFS('Transaction Data'!A:A,A957,'Transaction Data'!G:G,"Yes")&gt;2,30,0)</f>
        <v>0</v>
      </c>
      <c r="J957">
        <f>'Client Master Data'!I957+'Client Master Data'!J957+H957+I957</f>
        <v>70</v>
      </c>
    </row>
    <row r="958" spans="1:10">
      <c r="A958">
        <v>1160</v>
      </c>
      <c r="B958" t="s">
        <v>1725</v>
      </c>
      <c r="C958" t="s">
        <v>587</v>
      </c>
      <c r="D958">
        <v>97286</v>
      </c>
      <c r="E958" t="s">
        <v>588</v>
      </c>
      <c r="F958" t="s">
        <v>23</v>
      </c>
      <c r="G958" t="str">
        <f t="shared" si="28"/>
        <v>No</v>
      </c>
      <c r="H958">
        <f t="shared" si="29"/>
        <v>0</v>
      </c>
      <c r="I958" s="1">
        <f>IF(COUNTIF('Transaction Data'!A:A,A958)&gt;5,20,0)+IF(COUNTIFS('Transaction Data'!A:A,A958,'Transaction Data'!G:G,"Yes")&gt;2,30,0)</f>
        <v>0</v>
      </c>
      <c r="J958">
        <f>'Client Master Data'!I958+'Client Master Data'!J958+H958+I958</f>
        <v>0</v>
      </c>
    </row>
    <row r="959" spans="1:10">
      <c r="A959">
        <v>1447</v>
      </c>
      <c r="B959" t="s">
        <v>1726</v>
      </c>
      <c r="C959" t="s">
        <v>930</v>
      </c>
      <c r="D959">
        <v>303718</v>
      </c>
      <c r="E959" t="s">
        <v>593</v>
      </c>
      <c r="F959" t="s">
        <v>39</v>
      </c>
      <c r="G959" t="str">
        <f t="shared" si="28"/>
        <v>Yes</v>
      </c>
      <c r="H959">
        <f t="shared" si="29"/>
        <v>70</v>
      </c>
      <c r="I959" s="1">
        <f>IF(COUNTIF('Transaction Data'!A:A,A959)&gt;5,20,0)+IF(COUNTIFS('Transaction Data'!A:A,A959,'Transaction Data'!G:G,"Yes")&gt;2,30,0)</f>
        <v>30</v>
      </c>
      <c r="J959">
        <f>'Client Master Data'!I959+'Client Master Data'!J959+H959+I959</f>
        <v>100</v>
      </c>
    </row>
    <row r="960" spans="1:10">
      <c r="A960">
        <v>1514</v>
      </c>
      <c r="B960" t="s">
        <v>1727</v>
      </c>
      <c r="C960" t="s">
        <v>828</v>
      </c>
      <c r="D960">
        <v>440666</v>
      </c>
      <c r="E960" t="s">
        <v>593</v>
      </c>
      <c r="F960" t="s">
        <v>54</v>
      </c>
      <c r="G960" t="str">
        <f t="shared" si="28"/>
        <v>Yes</v>
      </c>
      <c r="H960">
        <f t="shared" si="29"/>
        <v>70</v>
      </c>
      <c r="I960" s="1">
        <f>IF(COUNTIF('Transaction Data'!A:A,A960)&gt;5,20,0)+IF(COUNTIFS('Transaction Data'!A:A,A960,'Transaction Data'!G:G,"Yes")&gt;2,30,0)</f>
        <v>0</v>
      </c>
      <c r="J960">
        <f>'Client Master Data'!I960+'Client Master Data'!J960+H960+I960</f>
        <v>70</v>
      </c>
    </row>
    <row r="961" spans="1:10">
      <c r="A961">
        <v>1464</v>
      </c>
      <c r="B961" t="s">
        <v>1728</v>
      </c>
      <c r="C961" t="s">
        <v>604</v>
      </c>
      <c r="D961">
        <v>121209</v>
      </c>
      <c r="E961" t="s">
        <v>593</v>
      </c>
      <c r="F961" t="s">
        <v>23</v>
      </c>
      <c r="G961" t="str">
        <f t="shared" si="28"/>
        <v>Yes</v>
      </c>
      <c r="H961">
        <f t="shared" si="29"/>
        <v>70</v>
      </c>
      <c r="I961" s="1">
        <f>IF(COUNTIF('Transaction Data'!A:A,A961)&gt;5,20,0)+IF(COUNTIFS('Transaction Data'!A:A,A961,'Transaction Data'!G:G,"Yes")&gt;2,30,0)</f>
        <v>50</v>
      </c>
      <c r="J961">
        <f>'Client Master Data'!I961+'Client Master Data'!J961+H961+I961</f>
        <v>120</v>
      </c>
    </row>
    <row r="962" spans="1:10">
      <c r="A962">
        <v>1198</v>
      </c>
      <c r="B962" t="s">
        <v>1729</v>
      </c>
      <c r="C962" t="s">
        <v>736</v>
      </c>
      <c r="D962">
        <v>85252</v>
      </c>
      <c r="E962" t="s">
        <v>600</v>
      </c>
      <c r="F962" t="s">
        <v>11</v>
      </c>
      <c r="G962" t="str">
        <f t="shared" ref="G962:G1001" si="30">IF(OR(D962&gt;100000,F962="UAE",F962="Nigeria"),"Yes","No")</f>
        <v>No</v>
      </c>
      <c r="H962">
        <f t="shared" si="29"/>
        <v>0</v>
      </c>
      <c r="I962" s="1">
        <f>IF(COUNTIF('Transaction Data'!A:A,A962)&gt;5,20,0)+IF(COUNTIFS('Transaction Data'!A:A,A962,'Transaction Data'!G:G,"Yes")&gt;2,30,0)</f>
        <v>0</v>
      </c>
      <c r="J962">
        <f>'Client Master Data'!I962+'Client Master Data'!J962+H962+I962</f>
        <v>0</v>
      </c>
    </row>
    <row r="963" spans="1:10">
      <c r="A963">
        <v>1343</v>
      </c>
      <c r="B963" t="s">
        <v>1730</v>
      </c>
      <c r="C963" t="s">
        <v>740</v>
      </c>
      <c r="D963">
        <v>333029</v>
      </c>
      <c r="E963" t="s">
        <v>588</v>
      </c>
      <c r="F963" t="s">
        <v>11</v>
      </c>
      <c r="G963" t="str">
        <f t="shared" si="30"/>
        <v>Yes</v>
      </c>
      <c r="H963">
        <f t="shared" ref="H963:H1001" si="31">IF(D963&gt;100000,30,0)+IF(TRIM(LOWER(G963))="yes",40,0)</f>
        <v>70</v>
      </c>
      <c r="I963" s="1">
        <f>IF(COUNTIF('Transaction Data'!A:A,A963)&gt;5,20,0)+IF(COUNTIFS('Transaction Data'!A:A,A963,'Transaction Data'!G:G,"Yes")&gt;2,30,0)</f>
        <v>0</v>
      </c>
      <c r="J963">
        <f>'Client Master Data'!I963+'Client Master Data'!J963+H963+I963</f>
        <v>70</v>
      </c>
    </row>
    <row r="964" spans="1:10">
      <c r="A964">
        <v>1299</v>
      </c>
      <c r="B964" t="s">
        <v>1731</v>
      </c>
      <c r="C964" t="s">
        <v>1445</v>
      </c>
      <c r="D964">
        <v>291061</v>
      </c>
      <c r="E964" t="s">
        <v>593</v>
      </c>
      <c r="F964" t="s">
        <v>23</v>
      </c>
      <c r="G964" t="str">
        <f t="shared" si="30"/>
        <v>Yes</v>
      </c>
      <c r="H964">
        <f t="shared" si="31"/>
        <v>70</v>
      </c>
      <c r="I964" s="1">
        <f>IF(COUNTIF('Transaction Data'!A:A,A964)&gt;5,20,0)+IF(COUNTIFS('Transaction Data'!A:A,A964,'Transaction Data'!G:G,"Yes")&gt;2,30,0)</f>
        <v>0</v>
      </c>
      <c r="J964">
        <f>'Client Master Data'!I964+'Client Master Data'!J964+H964+I964</f>
        <v>70</v>
      </c>
    </row>
    <row r="965" spans="1:10">
      <c r="A965">
        <v>1058</v>
      </c>
      <c r="B965" t="s">
        <v>1732</v>
      </c>
      <c r="C965" t="s">
        <v>828</v>
      </c>
      <c r="D965">
        <v>223755</v>
      </c>
      <c r="E965" t="s">
        <v>593</v>
      </c>
      <c r="F965" t="s">
        <v>11</v>
      </c>
      <c r="G965" t="str">
        <f t="shared" si="30"/>
        <v>Yes</v>
      </c>
      <c r="H965">
        <f t="shared" si="31"/>
        <v>70</v>
      </c>
      <c r="I965" s="1">
        <f>IF(COUNTIF('Transaction Data'!A:A,A965)&gt;5,20,0)+IF(COUNTIFS('Transaction Data'!A:A,A965,'Transaction Data'!G:G,"Yes")&gt;2,30,0)</f>
        <v>30</v>
      </c>
      <c r="J965">
        <f>'Client Master Data'!I965+'Client Master Data'!J965+H965+I965</f>
        <v>100</v>
      </c>
    </row>
    <row r="966" spans="1:10">
      <c r="A966">
        <v>1438</v>
      </c>
      <c r="B966" t="s">
        <v>1733</v>
      </c>
      <c r="C966" t="s">
        <v>629</v>
      </c>
      <c r="D966">
        <v>262092</v>
      </c>
      <c r="E966" t="s">
        <v>600</v>
      </c>
      <c r="F966" t="s">
        <v>11</v>
      </c>
      <c r="G966" t="str">
        <f t="shared" si="30"/>
        <v>Yes</v>
      </c>
      <c r="H966">
        <f t="shared" si="31"/>
        <v>70</v>
      </c>
      <c r="I966" s="1">
        <f>IF(COUNTIF('Transaction Data'!A:A,A966)&gt;5,20,0)+IF(COUNTIFS('Transaction Data'!A:A,A966,'Transaction Data'!G:G,"Yes")&gt;2,30,0)</f>
        <v>0</v>
      </c>
      <c r="J966">
        <f>'Client Master Data'!I966+'Client Master Data'!J966+H966+I966</f>
        <v>70</v>
      </c>
    </row>
    <row r="967" spans="1:10">
      <c r="A967">
        <v>1199</v>
      </c>
      <c r="B967" t="s">
        <v>1734</v>
      </c>
      <c r="C967" t="s">
        <v>1735</v>
      </c>
      <c r="D967">
        <v>448730</v>
      </c>
      <c r="E967" t="s">
        <v>593</v>
      </c>
      <c r="F967" t="s">
        <v>39</v>
      </c>
      <c r="G967" t="str">
        <f t="shared" si="30"/>
        <v>Yes</v>
      </c>
      <c r="H967">
        <f t="shared" si="31"/>
        <v>70</v>
      </c>
      <c r="I967" s="1">
        <f>IF(COUNTIF('Transaction Data'!A:A,A967)&gt;5,20,0)+IF(COUNTIFS('Transaction Data'!A:A,A967,'Transaction Data'!G:G,"Yes")&gt;2,30,0)</f>
        <v>0</v>
      </c>
      <c r="J967">
        <f>'Client Master Data'!I967+'Client Master Data'!J967+H967+I967</f>
        <v>70</v>
      </c>
    </row>
    <row r="968" spans="1:10">
      <c r="A968">
        <v>1403</v>
      </c>
      <c r="B968" t="s">
        <v>1736</v>
      </c>
      <c r="C968" t="s">
        <v>1400</v>
      </c>
      <c r="D968">
        <v>474198</v>
      </c>
      <c r="E968" t="s">
        <v>593</v>
      </c>
      <c r="F968" t="s">
        <v>27</v>
      </c>
      <c r="G968" t="str">
        <f t="shared" si="30"/>
        <v>Yes</v>
      </c>
      <c r="H968">
        <f t="shared" si="31"/>
        <v>70</v>
      </c>
      <c r="I968" s="1">
        <f>IF(COUNTIF('Transaction Data'!A:A,A968)&gt;5,20,0)+IF(COUNTIFS('Transaction Data'!A:A,A968,'Transaction Data'!G:G,"Yes")&gt;2,30,0)</f>
        <v>0</v>
      </c>
      <c r="J968">
        <f>'Client Master Data'!I968+'Client Master Data'!J968+H968+I968</f>
        <v>70</v>
      </c>
    </row>
    <row r="969" spans="1:10">
      <c r="A969">
        <v>1407</v>
      </c>
      <c r="B969" t="s">
        <v>1737</v>
      </c>
      <c r="C969" t="s">
        <v>858</v>
      </c>
      <c r="D969">
        <v>427251</v>
      </c>
      <c r="E969" t="s">
        <v>588</v>
      </c>
      <c r="F969" t="s">
        <v>27</v>
      </c>
      <c r="G969" t="str">
        <f t="shared" si="30"/>
        <v>Yes</v>
      </c>
      <c r="H969">
        <f t="shared" si="31"/>
        <v>70</v>
      </c>
      <c r="I969" s="1">
        <f>IF(COUNTIF('Transaction Data'!A:A,A969)&gt;5,20,0)+IF(COUNTIFS('Transaction Data'!A:A,A969,'Transaction Data'!G:G,"Yes")&gt;2,30,0)</f>
        <v>0</v>
      </c>
      <c r="J969">
        <f>'Client Master Data'!I969+'Client Master Data'!J969+H969+I969</f>
        <v>70</v>
      </c>
    </row>
    <row r="970" spans="1:10">
      <c r="A970">
        <v>1496</v>
      </c>
      <c r="B970" t="s">
        <v>1738</v>
      </c>
      <c r="C970" t="s">
        <v>1288</v>
      </c>
      <c r="D970">
        <v>379668</v>
      </c>
      <c r="E970" t="s">
        <v>588</v>
      </c>
      <c r="F970" t="s">
        <v>23</v>
      </c>
      <c r="G970" t="str">
        <f t="shared" si="30"/>
        <v>Yes</v>
      </c>
      <c r="H970">
        <f t="shared" si="31"/>
        <v>70</v>
      </c>
      <c r="I970" s="1">
        <f>IF(COUNTIF('Transaction Data'!A:A,A970)&gt;5,20,0)+IF(COUNTIFS('Transaction Data'!A:A,A970,'Transaction Data'!G:G,"Yes")&gt;2,30,0)</f>
        <v>0</v>
      </c>
      <c r="J970">
        <f>'Client Master Data'!I970+'Client Master Data'!J970+H970+I970</f>
        <v>70</v>
      </c>
    </row>
    <row r="971" spans="1:10">
      <c r="A971">
        <v>1020</v>
      </c>
      <c r="B971" t="s">
        <v>1739</v>
      </c>
      <c r="C971" t="s">
        <v>620</v>
      </c>
      <c r="D971">
        <v>437604</v>
      </c>
      <c r="E971" t="s">
        <v>593</v>
      </c>
      <c r="F971" t="s">
        <v>17</v>
      </c>
      <c r="G971" t="str">
        <f t="shared" si="30"/>
        <v>Yes</v>
      </c>
      <c r="H971">
        <f t="shared" si="31"/>
        <v>70</v>
      </c>
      <c r="I971" s="1">
        <f>IF(COUNTIF('Transaction Data'!A:A,A971)&gt;5,20,0)+IF(COUNTIFS('Transaction Data'!A:A,A971,'Transaction Data'!G:G,"Yes")&gt;2,30,0)</f>
        <v>30</v>
      </c>
      <c r="J971">
        <f>'Client Master Data'!I971+'Client Master Data'!J971+H971+I971</f>
        <v>100</v>
      </c>
    </row>
    <row r="972" spans="1:10">
      <c r="A972">
        <v>1420</v>
      </c>
      <c r="B972" t="s">
        <v>1740</v>
      </c>
      <c r="C972" t="s">
        <v>663</v>
      </c>
      <c r="D972">
        <v>445639</v>
      </c>
      <c r="E972" t="s">
        <v>593</v>
      </c>
      <c r="F972" t="s">
        <v>54</v>
      </c>
      <c r="G972" t="str">
        <f t="shared" si="30"/>
        <v>Yes</v>
      </c>
      <c r="H972">
        <f t="shared" si="31"/>
        <v>70</v>
      </c>
      <c r="I972" s="1">
        <f>IF(COUNTIF('Transaction Data'!A:A,A972)&gt;5,20,0)+IF(COUNTIFS('Transaction Data'!A:A,A972,'Transaction Data'!G:G,"Yes")&gt;2,30,0)</f>
        <v>0</v>
      </c>
      <c r="J972">
        <f>'Client Master Data'!I972+'Client Master Data'!J972+H972+I972</f>
        <v>70</v>
      </c>
    </row>
    <row r="973" spans="1:10">
      <c r="A973">
        <v>1412</v>
      </c>
      <c r="B973" t="s">
        <v>1741</v>
      </c>
      <c r="C973" t="s">
        <v>858</v>
      </c>
      <c r="D973">
        <v>182056</v>
      </c>
      <c r="E973" t="s">
        <v>593</v>
      </c>
      <c r="F973" t="s">
        <v>11</v>
      </c>
      <c r="G973" t="str">
        <f t="shared" si="30"/>
        <v>Yes</v>
      </c>
      <c r="H973">
        <f t="shared" si="31"/>
        <v>70</v>
      </c>
      <c r="I973" s="1">
        <f>IF(COUNTIF('Transaction Data'!A:A,A973)&gt;5,20,0)+IF(COUNTIFS('Transaction Data'!A:A,A973,'Transaction Data'!G:G,"Yes")&gt;2,30,0)</f>
        <v>0</v>
      </c>
      <c r="J973">
        <f>'Client Master Data'!I973+'Client Master Data'!J973+H973+I973</f>
        <v>70</v>
      </c>
    </row>
    <row r="974" spans="1:10">
      <c r="A974">
        <v>1427</v>
      </c>
      <c r="B974" t="s">
        <v>1742</v>
      </c>
      <c r="C974" t="s">
        <v>595</v>
      </c>
      <c r="D974">
        <v>40130</v>
      </c>
      <c r="E974" t="s">
        <v>588</v>
      </c>
      <c r="F974" t="s">
        <v>23</v>
      </c>
      <c r="G974" t="str">
        <f t="shared" si="30"/>
        <v>No</v>
      </c>
      <c r="H974">
        <f t="shared" si="31"/>
        <v>0</v>
      </c>
      <c r="I974" s="1">
        <f>IF(COUNTIF('Transaction Data'!A:A,A974)&gt;5,20,0)+IF(COUNTIFS('Transaction Data'!A:A,A974,'Transaction Data'!G:G,"Yes")&gt;2,30,0)</f>
        <v>50</v>
      </c>
      <c r="J974">
        <f>'Client Master Data'!I974+'Client Master Data'!J974+H974+I974</f>
        <v>50</v>
      </c>
    </row>
    <row r="975" spans="1:10">
      <c r="A975">
        <v>1469</v>
      </c>
      <c r="B975" t="s">
        <v>1743</v>
      </c>
      <c r="C975" t="s">
        <v>930</v>
      </c>
      <c r="D975">
        <v>140692</v>
      </c>
      <c r="E975" t="s">
        <v>588</v>
      </c>
      <c r="F975" t="s">
        <v>17</v>
      </c>
      <c r="G975" t="str">
        <f t="shared" si="30"/>
        <v>Yes</v>
      </c>
      <c r="H975">
        <f t="shared" si="31"/>
        <v>70</v>
      </c>
      <c r="I975" s="1">
        <f>IF(COUNTIF('Transaction Data'!A:A,A975)&gt;5,20,0)+IF(COUNTIFS('Transaction Data'!A:A,A975,'Transaction Data'!G:G,"Yes")&gt;2,30,0)</f>
        <v>30</v>
      </c>
      <c r="J975">
        <f>'Client Master Data'!I975+'Client Master Data'!J975+H975+I975</f>
        <v>100</v>
      </c>
    </row>
    <row r="976" spans="1:10">
      <c r="A976">
        <v>1002</v>
      </c>
      <c r="B976" t="s">
        <v>1744</v>
      </c>
      <c r="C976" t="s">
        <v>1657</v>
      </c>
      <c r="D976">
        <v>101215</v>
      </c>
      <c r="E976" t="s">
        <v>600</v>
      </c>
      <c r="F976" t="s">
        <v>17</v>
      </c>
      <c r="G976" t="str">
        <f t="shared" si="30"/>
        <v>Yes</v>
      </c>
      <c r="H976">
        <f t="shared" si="31"/>
        <v>70</v>
      </c>
      <c r="I976" s="1">
        <f>IF(COUNTIF('Transaction Data'!A:A,A976)&gt;5,20,0)+IF(COUNTIFS('Transaction Data'!A:A,A976,'Transaction Data'!G:G,"Yes")&gt;2,30,0)</f>
        <v>0</v>
      </c>
      <c r="J976">
        <f>'Client Master Data'!I976+'Client Master Data'!J976+H976+I976</f>
        <v>70</v>
      </c>
    </row>
    <row r="977" spans="1:10">
      <c r="A977">
        <v>1466</v>
      </c>
      <c r="B977" t="s">
        <v>1745</v>
      </c>
      <c r="C977" t="s">
        <v>876</v>
      </c>
      <c r="D977">
        <v>423789</v>
      </c>
      <c r="E977" t="s">
        <v>588</v>
      </c>
      <c r="F977" t="s">
        <v>27</v>
      </c>
      <c r="G977" t="str">
        <f t="shared" si="30"/>
        <v>Yes</v>
      </c>
      <c r="H977">
        <f t="shared" si="31"/>
        <v>70</v>
      </c>
      <c r="I977" s="1">
        <f>IF(COUNTIF('Transaction Data'!A:A,A977)&gt;5,20,0)+IF(COUNTIFS('Transaction Data'!A:A,A977,'Transaction Data'!G:G,"Yes")&gt;2,30,0)</f>
        <v>0</v>
      </c>
      <c r="J977">
        <f>'Client Master Data'!I977+'Client Master Data'!J977+H977+I977</f>
        <v>70</v>
      </c>
    </row>
    <row r="978" spans="1:10">
      <c r="A978">
        <v>1409</v>
      </c>
      <c r="B978" t="s">
        <v>1746</v>
      </c>
      <c r="C978" t="s">
        <v>778</v>
      </c>
      <c r="D978">
        <v>358340</v>
      </c>
      <c r="E978" t="s">
        <v>593</v>
      </c>
      <c r="F978" t="s">
        <v>11</v>
      </c>
      <c r="G978" t="str">
        <f t="shared" si="30"/>
        <v>Yes</v>
      </c>
      <c r="H978">
        <f t="shared" si="31"/>
        <v>70</v>
      </c>
      <c r="I978" s="1">
        <f>IF(COUNTIF('Transaction Data'!A:A,A978)&gt;5,20,0)+IF(COUNTIFS('Transaction Data'!A:A,A978,'Transaction Data'!G:G,"Yes")&gt;2,30,0)</f>
        <v>30</v>
      </c>
      <c r="J978">
        <f>'Client Master Data'!I978+'Client Master Data'!J978+H978+I978</f>
        <v>100</v>
      </c>
    </row>
    <row r="979" spans="1:10">
      <c r="A979">
        <v>1386</v>
      </c>
      <c r="B979" t="s">
        <v>1747</v>
      </c>
      <c r="C979" t="s">
        <v>798</v>
      </c>
      <c r="D979">
        <v>143640</v>
      </c>
      <c r="E979" t="s">
        <v>588</v>
      </c>
      <c r="F979" t="s">
        <v>54</v>
      </c>
      <c r="G979" t="str">
        <f t="shared" si="30"/>
        <v>Yes</v>
      </c>
      <c r="H979">
        <f t="shared" si="31"/>
        <v>70</v>
      </c>
      <c r="I979" s="1">
        <f>IF(COUNTIF('Transaction Data'!A:A,A979)&gt;5,20,0)+IF(COUNTIFS('Transaction Data'!A:A,A979,'Transaction Data'!G:G,"Yes")&gt;2,30,0)</f>
        <v>30</v>
      </c>
      <c r="J979">
        <f>'Client Master Data'!I979+'Client Master Data'!J979+H979+I979</f>
        <v>100</v>
      </c>
    </row>
    <row r="980" spans="1:10">
      <c r="A980">
        <v>1213</v>
      </c>
      <c r="B980" t="s">
        <v>1748</v>
      </c>
      <c r="C980" t="s">
        <v>811</v>
      </c>
      <c r="D980">
        <v>21103</v>
      </c>
      <c r="E980" t="s">
        <v>600</v>
      </c>
      <c r="F980" t="s">
        <v>27</v>
      </c>
      <c r="G980" t="str">
        <f t="shared" si="30"/>
        <v>No</v>
      </c>
      <c r="H980">
        <f t="shared" si="31"/>
        <v>0</v>
      </c>
      <c r="I980" s="1">
        <f>IF(COUNTIF('Transaction Data'!A:A,A980)&gt;5,20,0)+IF(COUNTIFS('Transaction Data'!A:A,A980,'Transaction Data'!G:G,"Yes")&gt;2,30,0)</f>
        <v>50</v>
      </c>
      <c r="J980">
        <f>'Client Master Data'!I980+'Client Master Data'!J980+H980+I980</f>
        <v>50</v>
      </c>
    </row>
    <row r="981" spans="1:10">
      <c r="A981">
        <v>1404</v>
      </c>
      <c r="B981" t="s">
        <v>1749</v>
      </c>
      <c r="C981" t="s">
        <v>836</v>
      </c>
      <c r="D981">
        <v>202206</v>
      </c>
      <c r="E981" t="s">
        <v>593</v>
      </c>
      <c r="F981" t="s">
        <v>39</v>
      </c>
      <c r="G981" t="str">
        <f t="shared" si="30"/>
        <v>Yes</v>
      </c>
      <c r="H981">
        <f t="shared" si="31"/>
        <v>70</v>
      </c>
      <c r="I981" s="1">
        <f>IF(COUNTIF('Transaction Data'!A:A,A981)&gt;5,20,0)+IF(COUNTIFS('Transaction Data'!A:A,A981,'Transaction Data'!G:G,"Yes")&gt;2,30,0)</f>
        <v>0</v>
      </c>
      <c r="J981">
        <f>'Client Master Data'!I981+'Client Master Data'!J981+H981+I981</f>
        <v>70</v>
      </c>
    </row>
    <row r="982" spans="1:10">
      <c r="A982">
        <v>1325</v>
      </c>
      <c r="B982" t="s">
        <v>1750</v>
      </c>
      <c r="C982" t="s">
        <v>826</v>
      </c>
      <c r="D982">
        <v>94119</v>
      </c>
      <c r="E982" t="s">
        <v>588</v>
      </c>
      <c r="F982" t="s">
        <v>11</v>
      </c>
      <c r="G982" t="str">
        <f t="shared" si="30"/>
        <v>No</v>
      </c>
      <c r="H982">
        <f t="shared" si="31"/>
        <v>0</v>
      </c>
      <c r="I982" s="1">
        <f>IF(COUNTIF('Transaction Data'!A:A,A982)&gt;5,20,0)+IF(COUNTIFS('Transaction Data'!A:A,A982,'Transaction Data'!G:G,"Yes")&gt;2,30,0)</f>
        <v>30</v>
      </c>
      <c r="J982">
        <f>'Client Master Data'!I982+'Client Master Data'!J982+H982+I982</f>
        <v>30</v>
      </c>
    </row>
    <row r="983" spans="1:10">
      <c r="A983">
        <v>1121</v>
      </c>
      <c r="B983" t="s">
        <v>1751</v>
      </c>
      <c r="C983" t="s">
        <v>631</v>
      </c>
      <c r="D983">
        <v>448885</v>
      </c>
      <c r="E983" t="s">
        <v>593</v>
      </c>
      <c r="F983" t="s">
        <v>17</v>
      </c>
      <c r="G983" t="str">
        <f t="shared" si="30"/>
        <v>Yes</v>
      </c>
      <c r="H983">
        <f t="shared" si="31"/>
        <v>70</v>
      </c>
      <c r="I983" s="1">
        <f>IF(COUNTIF('Transaction Data'!A:A,A983)&gt;5,20,0)+IF(COUNTIFS('Transaction Data'!A:A,A983,'Transaction Data'!G:G,"Yes")&gt;2,30,0)</f>
        <v>0</v>
      </c>
      <c r="J983">
        <f>'Client Master Data'!I983+'Client Master Data'!J983+H983+I983</f>
        <v>70</v>
      </c>
    </row>
    <row r="984" spans="1:10">
      <c r="A984">
        <v>1290</v>
      </c>
      <c r="B984" t="s">
        <v>1752</v>
      </c>
      <c r="C984" t="s">
        <v>1133</v>
      </c>
      <c r="D984">
        <v>244258</v>
      </c>
      <c r="E984" t="s">
        <v>593</v>
      </c>
      <c r="F984" t="s">
        <v>23</v>
      </c>
      <c r="G984" t="str">
        <f t="shared" si="30"/>
        <v>Yes</v>
      </c>
      <c r="H984">
        <f t="shared" si="31"/>
        <v>70</v>
      </c>
      <c r="I984" s="1">
        <f>IF(COUNTIF('Transaction Data'!A:A,A984)&gt;5,20,0)+IF(COUNTIFS('Transaction Data'!A:A,A984,'Transaction Data'!G:G,"Yes")&gt;2,30,0)</f>
        <v>0</v>
      </c>
      <c r="J984">
        <f>'Client Master Data'!I984+'Client Master Data'!J984+H984+I984</f>
        <v>70</v>
      </c>
    </row>
    <row r="985" spans="1:10">
      <c r="A985">
        <v>1433</v>
      </c>
      <c r="B985" t="s">
        <v>1753</v>
      </c>
      <c r="C985" t="s">
        <v>789</v>
      </c>
      <c r="D985">
        <v>227035</v>
      </c>
      <c r="E985" t="s">
        <v>600</v>
      </c>
      <c r="F985" t="s">
        <v>17</v>
      </c>
      <c r="G985" t="str">
        <f t="shared" si="30"/>
        <v>Yes</v>
      </c>
      <c r="H985">
        <f t="shared" si="31"/>
        <v>70</v>
      </c>
      <c r="I985" s="1">
        <f>IF(COUNTIF('Transaction Data'!A:A,A985)&gt;5,20,0)+IF(COUNTIFS('Transaction Data'!A:A,A985,'Transaction Data'!G:G,"Yes")&gt;2,30,0)</f>
        <v>0</v>
      </c>
      <c r="J985">
        <f>'Client Master Data'!I985+'Client Master Data'!J985+H985+I985</f>
        <v>70</v>
      </c>
    </row>
    <row r="986" spans="1:10">
      <c r="A986">
        <v>1050</v>
      </c>
      <c r="B986" t="s">
        <v>1754</v>
      </c>
      <c r="C986" t="s">
        <v>789</v>
      </c>
      <c r="D986">
        <v>101805</v>
      </c>
      <c r="E986" t="s">
        <v>600</v>
      </c>
      <c r="F986" t="s">
        <v>54</v>
      </c>
      <c r="G986" t="str">
        <f t="shared" si="30"/>
        <v>Yes</v>
      </c>
      <c r="H986">
        <f t="shared" si="31"/>
        <v>70</v>
      </c>
      <c r="I986" s="1">
        <f>IF(COUNTIF('Transaction Data'!A:A,A986)&gt;5,20,0)+IF(COUNTIFS('Transaction Data'!A:A,A986,'Transaction Data'!G:G,"Yes")&gt;2,30,0)</f>
        <v>0</v>
      </c>
      <c r="J986">
        <f>'Client Master Data'!I986+'Client Master Data'!J986+H986+I986</f>
        <v>70</v>
      </c>
    </row>
    <row r="987" spans="1:10">
      <c r="A987">
        <v>1538</v>
      </c>
      <c r="B987" t="s">
        <v>1755</v>
      </c>
      <c r="C987" t="s">
        <v>633</v>
      </c>
      <c r="D987">
        <v>352841</v>
      </c>
      <c r="E987" t="s">
        <v>588</v>
      </c>
      <c r="F987" t="s">
        <v>11</v>
      </c>
      <c r="G987" t="str">
        <f t="shared" si="30"/>
        <v>Yes</v>
      </c>
      <c r="H987">
        <f t="shared" si="31"/>
        <v>70</v>
      </c>
      <c r="I987" s="1">
        <f>IF(COUNTIF('Transaction Data'!A:A,A987)&gt;5,20,0)+IF(COUNTIFS('Transaction Data'!A:A,A987,'Transaction Data'!G:G,"Yes")&gt;2,30,0)</f>
        <v>0</v>
      </c>
      <c r="J987">
        <f>'Client Master Data'!I987+'Client Master Data'!J987+H987+I987</f>
        <v>70</v>
      </c>
    </row>
    <row r="988" spans="1:10">
      <c r="A988">
        <v>1036</v>
      </c>
      <c r="B988" t="s">
        <v>1756</v>
      </c>
      <c r="C988" t="s">
        <v>964</v>
      </c>
      <c r="D988">
        <v>64408</v>
      </c>
      <c r="E988" t="s">
        <v>593</v>
      </c>
      <c r="F988" t="s">
        <v>23</v>
      </c>
      <c r="G988" t="str">
        <f t="shared" si="30"/>
        <v>No</v>
      </c>
      <c r="H988">
        <f t="shared" si="31"/>
        <v>0</v>
      </c>
      <c r="I988" s="1">
        <f>IF(COUNTIF('Transaction Data'!A:A,A988)&gt;5,20,0)+IF(COUNTIFS('Transaction Data'!A:A,A988,'Transaction Data'!G:G,"Yes")&gt;2,30,0)</f>
        <v>0</v>
      </c>
      <c r="J988">
        <f>'Client Master Data'!I988+'Client Master Data'!J988+H988+I988</f>
        <v>0</v>
      </c>
    </row>
    <row r="989" spans="1:10">
      <c r="A989">
        <v>1383</v>
      </c>
      <c r="B989" t="s">
        <v>1757</v>
      </c>
      <c r="C989" t="s">
        <v>756</v>
      </c>
      <c r="D989">
        <v>2890</v>
      </c>
      <c r="E989" t="s">
        <v>593</v>
      </c>
      <c r="F989" t="s">
        <v>54</v>
      </c>
      <c r="G989" t="str">
        <f t="shared" si="30"/>
        <v>Yes</v>
      </c>
      <c r="H989">
        <f t="shared" si="31"/>
        <v>40</v>
      </c>
      <c r="I989" s="1">
        <f>IF(COUNTIF('Transaction Data'!A:A,A989)&gt;5,20,0)+IF(COUNTIFS('Transaction Data'!A:A,A989,'Transaction Data'!G:G,"Yes")&gt;2,30,0)</f>
        <v>30</v>
      </c>
      <c r="J989">
        <f>'Client Master Data'!I989+'Client Master Data'!J989+H989+I989</f>
        <v>70</v>
      </c>
    </row>
    <row r="990" spans="1:10">
      <c r="A990">
        <v>1318</v>
      </c>
      <c r="B990" t="s">
        <v>1758</v>
      </c>
      <c r="C990" t="s">
        <v>720</v>
      </c>
      <c r="D990">
        <v>19627</v>
      </c>
      <c r="E990" t="s">
        <v>600</v>
      </c>
      <c r="F990" t="s">
        <v>23</v>
      </c>
      <c r="G990" t="str">
        <f t="shared" si="30"/>
        <v>No</v>
      </c>
      <c r="H990">
        <f t="shared" si="31"/>
        <v>0</v>
      </c>
      <c r="I990" s="1">
        <f>IF(COUNTIF('Transaction Data'!A:A,A990)&gt;5,20,0)+IF(COUNTIFS('Transaction Data'!A:A,A990,'Transaction Data'!G:G,"Yes")&gt;2,30,0)</f>
        <v>0</v>
      </c>
      <c r="J990">
        <f>'Client Master Data'!I990+'Client Master Data'!J990+H990+I990</f>
        <v>0</v>
      </c>
    </row>
    <row r="991" spans="1:10">
      <c r="A991">
        <v>1447</v>
      </c>
      <c r="B991" t="s">
        <v>1759</v>
      </c>
      <c r="C991" t="s">
        <v>1046</v>
      </c>
      <c r="D991">
        <v>294138</v>
      </c>
      <c r="E991" t="s">
        <v>600</v>
      </c>
      <c r="F991" t="s">
        <v>17</v>
      </c>
      <c r="G991" t="str">
        <f t="shared" si="30"/>
        <v>Yes</v>
      </c>
      <c r="H991">
        <f t="shared" si="31"/>
        <v>70</v>
      </c>
      <c r="I991" s="1">
        <f>IF(COUNTIF('Transaction Data'!A:A,A991)&gt;5,20,0)+IF(COUNTIFS('Transaction Data'!A:A,A991,'Transaction Data'!G:G,"Yes")&gt;2,30,0)</f>
        <v>30</v>
      </c>
      <c r="J991">
        <f>'Client Master Data'!I991+'Client Master Data'!J991+H991+I991</f>
        <v>100</v>
      </c>
    </row>
    <row r="992" spans="1:10">
      <c r="A992">
        <v>1460</v>
      </c>
      <c r="B992" t="s">
        <v>1760</v>
      </c>
      <c r="C992" t="s">
        <v>685</v>
      </c>
      <c r="D992">
        <v>425588</v>
      </c>
      <c r="E992" t="s">
        <v>600</v>
      </c>
      <c r="F992" t="s">
        <v>39</v>
      </c>
      <c r="G992" t="str">
        <f t="shared" si="30"/>
        <v>Yes</v>
      </c>
      <c r="H992">
        <f t="shared" si="31"/>
        <v>70</v>
      </c>
      <c r="I992" s="1">
        <f>IF(COUNTIF('Transaction Data'!A:A,A992)&gt;5,20,0)+IF(COUNTIFS('Transaction Data'!A:A,A992,'Transaction Data'!G:G,"Yes")&gt;2,30,0)</f>
        <v>50</v>
      </c>
      <c r="J992">
        <f>'Client Master Data'!I992+'Client Master Data'!J992+H992+I992</f>
        <v>120</v>
      </c>
    </row>
    <row r="993" spans="1:10">
      <c r="A993">
        <v>1445</v>
      </c>
      <c r="B993" t="s">
        <v>1761</v>
      </c>
      <c r="C993" t="s">
        <v>897</v>
      </c>
      <c r="D993">
        <v>238976</v>
      </c>
      <c r="E993" t="s">
        <v>588</v>
      </c>
      <c r="F993" t="s">
        <v>11</v>
      </c>
      <c r="G993" t="str">
        <f t="shared" si="30"/>
        <v>Yes</v>
      </c>
      <c r="H993">
        <f t="shared" si="31"/>
        <v>70</v>
      </c>
      <c r="I993" s="1">
        <f>IF(COUNTIF('Transaction Data'!A:A,A993)&gt;5,20,0)+IF(COUNTIFS('Transaction Data'!A:A,A993,'Transaction Data'!G:G,"Yes")&gt;2,30,0)</f>
        <v>30</v>
      </c>
      <c r="J993">
        <f>'Client Master Data'!I993+'Client Master Data'!J993+H993+I993</f>
        <v>100</v>
      </c>
    </row>
    <row r="994" spans="1:10">
      <c r="A994">
        <v>1042</v>
      </c>
      <c r="B994" t="s">
        <v>1762</v>
      </c>
      <c r="C994" t="s">
        <v>736</v>
      </c>
      <c r="D994">
        <v>337012</v>
      </c>
      <c r="E994" t="s">
        <v>593</v>
      </c>
      <c r="F994" t="s">
        <v>17</v>
      </c>
      <c r="G994" t="str">
        <f t="shared" si="30"/>
        <v>Yes</v>
      </c>
      <c r="H994">
        <f t="shared" si="31"/>
        <v>70</v>
      </c>
      <c r="I994" s="1">
        <f>IF(COUNTIF('Transaction Data'!A:A,A994)&gt;5,20,0)+IF(COUNTIFS('Transaction Data'!A:A,A994,'Transaction Data'!G:G,"Yes")&gt;2,30,0)</f>
        <v>30</v>
      </c>
      <c r="J994">
        <f>'Client Master Data'!I994+'Client Master Data'!J994+H994+I994</f>
        <v>100</v>
      </c>
    </row>
    <row r="995" spans="1:10">
      <c r="A995">
        <v>1320</v>
      </c>
      <c r="B995" t="s">
        <v>1763</v>
      </c>
      <c r="C995" t="s">
        <v>1182</v>
      </c>
      <c r="D995">
        <v>179766</v>
      </c>
      <c r="E995" t="s">
        <v>588</v>
      </c>
      <c r="F995" t="s">
        <v>54</v>
      </c>
      <c r="G995" t="str">
        <f t="shared" si="30"/>
        <v>Yes</v>
      </c>
      <c r="H995">
        <f t="shared" si="31"/>
        <v>70</v>
      </c>
      <c r="I995" s="1">
        <f>IF(COUNTIF('Transaction Data'!A:A,A995)&gt;5,20,0)+IF(COUNTIFS('Transaction Data'!A:A,A995,'Transaction Data'!G:G,"Yes")&gt;2,30,0)</f>
        <v>30</v>
      </c>
      <c r="J995">
        <f>'Client Master Data'!I995+'Client Master Data'!J995+H995+I995</f>
        <v>100</v>
      </c>
    </row>
    <row r="996" spans="1:10">
      <c r="A996">
        <v>1099</v>
      </c>
      <c r="B996" t="s">
        <v>1764</v>
      </c>
      <c r="C996" t="s">
        <v>690</v>
      </c>
      <c r="D996">
        <v>487210</v>
      </c>
      <c r="E996" t="s">
        <v>593</v>
      </c>
      <c r="F996" t="s">
        <v>39</v>
      </c>
      <c r="G996" t="str">
        <f t="shared" si="30"/>
        <v>Yes</v>
      </c>
      <c r="H996">
        <f t="shared" si="31"/>
        <v>70</v>
      </c>
      <c r="I996" s="1">
        <f>IF(COUNTIF('Transaction Data'!A:A,A996)&gt;5,20,0)+IF(COUNTIFS('Transaction Data'!A:A,A996,'Transaction Data'!G:G,"Yes")&gt;2,30,0)</f>
        <v>0</v>
      </c>
      <c r="J996">
        <f>'Client Master Data'!I996+'Client Master Data'!J996+H996+I996</f>
        <v>70</v>
      </c>
    </row>
    <row r="997" spans="1:10">
      <c r="A997">
        <v>1508</v>
      </c>
      <c r="B997" t="s">
        <v>1765</v>
      </c>
      <c r="C997" t="s">
        <v>717</v>
      </c>
      <c r="D997">
        <v>480797</v>
      </c>
      <c r="E997" t="s">
        <v>588</v>
      </c>
      <c r="F997" t="s">
        <v>17</v>
      </c>
      <c r="G997" t="str">
        <f t="shared" si="30"/>
        <v>Yes</v>
      </c>
      <c r="H997">
        <f t="shared" si="31"/>
        <v>70</v>
      </c>
      <c r="I997" s="1">
        <f>IF(COUNTIF('Transaction Data'!A:A,A997)&gt;5,20,0)+IF(COUNTIFS('Transaction Data'!A:A,A997,'Transaction Data'!G:G,"Yes")&gt;2,30,0)</f>
        <v>30</v>
      </c>
      <c r="J997">
        <f>'Client Master Data'!I997+'Client Master Data'!J997+H997+I997</f>
        <v>100</v>
      </c>
    </row>
    <row r="998" spans="1:10">
      <c r="A998">
        <v>1191</v>
      </c>
      <c r="B998" t="s">
        <v>1766</v>
      </c>
      <c r="C998" t="s">
        <v>682</v>
      </c>
      <c r="D998">
        <v>365274</v>
      </c>
      <c r="E998" t="s">
        <v>588</v>
      </c>
      <c r="F998" t="s">
        <v>11</v>
      </c>
      <c r="G998" t="str">
        <f t="shared" si="30"/>
        <v>Yes</v>
      </c>
      <c r="H998">
        <f t="shared" si="31"/>
        <v>70</v>
      </c>
      <c r="I998" s="1">
        <f>IF(COUNTIF('Transaction Data'!A:A,A998)&gt;5,20,0)+IF(COUNTIFS('Transaction Data'!A:A,A998,'Transaction Data'!G:G,"Yes")&gt;2,30,0)</f>
        <v>30</v>
      </c>
      <c r="J998">
        <f>'Client Master Data'!I998+'Client Master Data'!J998+H998+I998</f>
        <v>100</v>
      </c>
    </row>
    <row r="999" spans="1:10">
      <c r="A999">
        <v>1275</v>
      </c>
      <c r="B999" t="s">
        <v>1767</v>
      </c>
      <c r="C999" t="s">
        <v>745</v>
      </c>
      <c r="D999">
        <v>242381</v>
      </c>
      <c r="E999" t="s">
        <v>593</v>
      </c>
      <c r="F999" t="s">
        <v>39</v>
      </c>
      <c r="G999" t="str">
        <f t="shared" si="30"/>
        <v>Yes</v>
      </c>
      <c r="H999">
        <f t="shared" si="31"/>
        <v>70</v>
      </c>
      <c r="I999" s="1">
        <f>IF(COUNTIF('Transaction Data'!A:A,A999)&gt;5,20,0)+IF(COUNTIFS('Transaction Data'!A:A,A999,'Transaction Data'!G:G,"Yes")&gt;2,30,0)</f>
        <v>0</v>
      </c>
      <c r="J999">
        <f>'Client Master Data'!I999+'Client Master Data'!J999+H999+I999</f>
        <v>70</v>
      </c>
    </row>
    <row r="1000" spans="1:10">
      <c r="A1000">
        <v>1133</v>
      </c>
      <c r="B1000" t="s">
        <v>1768</v>
      </c>
      <c r="C1000" t="s">
        <v>1053</v>
      </c>
      <c r="D1000">
        <v>429824</v>
      </c>
      <c r="E1000" t="s">
        <v>600</v>
      </c>
      <c r="F1000" t="s">
        <v>39</v>
      </c>
      <c r="G1000" t="str">
        <f t="shared" si="30"/>
        <v>Yes</v>
      </c>
      <c r="H1000">
        <f t="shared" si="31"/>
        <v>70</v>
      </c>
      <c r="I1000" s="1">
        <f>IF(COUNTIF('Transaction Data'!A:A,A1000)&gt;5,20,0)+IF(COUNTIFS('Transaction Data'!A:A,A1000,'Transaction Data'!G:G,"Yes")&gt;2,30,0)</f>
        <v>30</v>
      </c>
      <c r="J1000">
        <f>'Client Master Data'!I1000+'Client Master Data'!J1000+H1000+I1000</f>
        <v>100</v>
      </c>
    </row>
    <row r="1001" spans="1:10">
      <c r="A1001">
        <v>1331</v>
      </c>
      <c r="B1001" t="s">
        <v>1769</v>
      </c>
      <c r="C1001" t="s">
        <v>711</v>
      </c>
      <c r="D1001">
        <v>288623</v>
      </c>
      <c r="E1001" t="s">
        <v>600</v>
      </c>
      <c r="F1001" t="s">
        <v>11</v>
      </c>
      <c r="G1001" t="str">
        <f t="shared" si="30"/>
        <v>Yes</v>
      </c>
      <c r="H1001">
        <f t="shared" si="31"/>
        <v>70</v>
      </c>
      <c r="I1001" s="1">
        <f>IF(COUNTIF('Transaction Data'!A:A,A1001)&gt;5,20,0)+IF(COUNTIFS('Transaction Data'!A:A,A1001,'Transaction Data'!G:G,"Yes")&gt;2,30,0)</f>
        <v>30</v>
      </c>
      <c r="J1001">
        <f>'Client Master Data'!I1001+'Client Master Data'!J1001+H1001+I1001</f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1"/>
  <sheetViews>
    <sheetView tabSelected="1" workbookViewId="0">
      <selection activeCell="J21" sqref="J21"/>
    </sheetView>
  </sheetViews>
  <sheetFormatPr defaultColWidth="9" defaultRowHeight="14.4" outlineLevelCol="5"/>
  <sheetData>
    <row r="1" spans="1:6">
      <c r="A1" t="s">
        <v>0</v>
      </c>
      <c r="B1" t="s">
        <v>1770</v>
      </c>
      <c r="C1" t="s">
        <v>1771</v>
      </c>
      <c r="D1" t="s">
        <v>1772</v>
      </c>
      <c r="E1" t="s">
        <v>1773</v>
      </c>
      <c r="F1" t="s">
        <v>1774</v>
      </c>
    </row>
    <row r="2" spans="1:6">
      <c r="A2">
        <v>1001</v>
      </c>
      <c r="B2" t="s">
        <v>1775</v>
      </c>
      <c r="C2" t="s">
        <v>20</v>
      </c>
      <c r="D2" t="s">
        <v>842</v>
      </c>
      <c r="E2">
        <f>IF(VLOOKUP(A2,'Client Master Data'!A:G,4,FALSE)="High",30,IF(VLOOKUP(A2,'Client Master Data'!A:G,4,FALSE)="Medium",20,10))+IF(VLOOKUP(A2,'Client Master Data'!A:G,7,FALSE)="Yes",40,0)+IF(C2="Yes",10,0)</f>
        <v>20</v>
      </c>
      <c r="F2" t="str">
        <f t="shared" ref="F2:F65" si="0">IF(E2&lt;=30,"Low",IF(E2&lt;=70,"Medium","High"))</f>
        <v>Low</v>
      </c>
    </row>
    <row r="3" spans="1:6">
      <c r="A3">
        <v>1002</v>
      </c>
      <c r="B3" t="s">
        <v>1776</v>
      </c>
      <c r="C3" t="s">
        <v>14</v>
      </c>
      <c r="D3" t="s">
        <v>1046</v>
      </c>
      <c r="E3">
        <f>IF(VLOOKUP(A3,'Client Master Data'!A:G,4,FALSE)="High",30,IF(VLOOKUP(A3,'Client Master Data'!A:G,4,FALSE)="Medium",20,10))+IF(VLOOKUP(A3,'Client Master Data'!A:G,7,FALSE)="Yes",40,0)+IF(C3="Yes",10,0)</f>
        <v>70</v>
      </c>
      <c r="F3" t="str">
        <f t="shared" si="0"/>
        <v>Medium</v>
      </c>
    </row>
    <row r="4" spans="1:6">
      <c r="A4">
        <v>1003</v>
      </c>
      <c r="B4" t="s">
        <v>1777</v>
      </c>
      <c r="C4" t="s">
        <v>14</v>
      </c>
      <c r="D4" t="s">
        <v>842</v>
      </c>
      <c r="E4">
        <f>IF(VLOOKUP(A4,'Client Master Data'!A:G,4,FALSE)="High",30,IF(VLOOKUP(A4,'Client Master Data'!A:G,4,FALSE)="Medium",20,10))+IF(VLOOKUP(A4,'Client Master Data'!A:G,7,FALSE)="Yes",40,0)+IF(C4="Yes",10,0)</f>
        <v>60</v>
      </c>
      <c r="F4" t="str">
        <f t="shared" si="0"/>
        <v>Medium</v>
      </c>
    </row>
    <row r="5" spans="1:6">
      <c r="A5">
        <v>1004</v>
      </c>
      <c r="B5" t="s">
        <v>1776</v>
      </c>
      <c r="C5" t="s">
        <v>20</v>
      </c>
      <c r="D5" t="s">
        <v>731</v>
      </c>
      <c r="E5">
        <f>IF(VLOOKUP(A5,'Client Master Data'!A:G,4,FALSE)="High",30,IF(VLOOKUP(A5,'Client Master Data'!A:G,4,FALSE)="Medium",20,10))+IF(VLOOKUP(A5,'Client Master Data'!A:G,7,FALSE)="Yes",40,0)+IF(C5="Yes",10,0)</f>
        <v>60</v>
      </c>
      <c r="F5" t="str">
        <f t="shared" si="0"/>
        <v>Medium</v>
      </c>
    </row>
    <row r="6" spans="1:6">
      <c r="A6">
        <v>1005</v>
      </c>
      <c r="B6" t="s">
        <v>1775</v>
      </c>
      <c r="C6" t="s">
        <v>20</v>
      </c>
      <c r="D6" t="s">
        <v>861</v>
      </c>
      <c r="E6">
        <f>IF(VLOOKUP(A6,'Client Master Data'!A:G,4,FALSE)="High",30,IF(VLOOKUP(A6,'Client Master Data'!A:G,4,FALSE)="Medium",20,10))+IF(VLOOKUP(A6,'Client Master Data'!A:G,7,FALSE)="Yes",40,0)+IF(C6="Yes",10,0)</f>
        <v>80</v>
      </c>
      <c r="F6" t="str">
        <f t="shared" si="0"/>
        <v>High</v>
      </c>
    </row>
    <row r="7" spans="1:6">
      <c r="A7">
        <v>1006</v>
      </c>
      <c r="B7" t="s">
        <v>1776</v>
      </c>
      <c r="C7" t="s">
        <v>20</v>
      </c>
      <c r="D7" t="s">
        <v>663</v>
      </c>
      <c r="E7">
        <f>IF(VLOOKUP(A7,'Client Master Data'!A:G,4,FALSE)="High",30,IF(VLOOKUP(A7,'Client Master Data'!A:G,4,FALSE)="Medium",20,10))+IF(VLOOKUP(A7,'Client Master Data'!A:G,7,FALSE)="Yes",40,0)+IF(C7="Yes",10,0)</f>
        <v>60</v>
      </c>
      <c r="F7" t="str">
        <f t="shared" si="0"/>
        <v>Medium</v>
      </c>
    </row>
    <row r="8" spans="1:6">
      <c r="A8">
        <v>1007</v>
      </c>
      <c r="B8" t="s">
        <v>1775</v>
      </c>
      <c r="C8" t="s">
        <v>20</v>
      </c>
      <c r="D8" t="s">
        <v>616</v>
      </c>
      <c r="E8">
        <f>IF(VLOOKUP(A8,'Client Master Data'!A:G,4,FALSE)="High",30,IF(VLOOKUP(A8,'Client Master Data'!A:G,4,FALSE)="Medium",20,10))+IF(VLOOKUP(A8,'Client Master Data'!A:G,7,FALSE)="Yes",40,0)+IF(C8="Yes",10,0)</f>
        <v>60</v>
      </c>
      <c r="F8" t="str">
        <f t="shared" si="0"/>
        <v>Medium</v>
      </c>
    </row>
    <row r="9" spans="1:6">
      <c r="A9">
        <v>1008</v>
      </c>
      <c r="B9" t="s">
        <v>1775</v>
      </c>
      <c r="C9" t="s">
        <v>14</v>
      </c>
      <c r="D9" t="s">
        <v>1025</v>
      </c>
      <c r="E9">
        <f>IF(VLOOKUP(A9,'Client Master Data'!A:G,4,FALSE)="High",30,IF(VLOOKUP(A9,'Client Master Data'!A:G,4,FALSE)="Medium",20,10))+IF(VLOOKUP(A9,'Client Master Data'!A:G,7,FALSE)="Yes",40,0)+IF(C9="Yes",10,0)</f>
        <v>30</v>
      </c>
      <c r="F9" t="str">
        <f t="shared" si="0"/>
        <v>Low</v>
      </c>
    </row>
    <row r="10" spans="1:6">
      <c r="A10">
        <v>1009</v>
      </c>
      <c r="B10" t="s">
        <v>1776</v>
      </c>
      <c r="C10" t="s">
        <v>20</v>
      </c>
      <c r="D10" t="s">
        <v>878</v>
      </c>
      <c r="E10">
        <f>IF(VLOOKUP(A10,'Client Master Data'!A:G,4,FALSE)="High",30,IF(VLOOKUP(A10,'Client Master Data'!A:G,4,FALSE)="Medium",20,10))+IF(VLOOKUP(A10,'Client Master Data'!A:G,7,FALSE)="Yes",40,0)+IF(C10="Yes",10,0)</f>
        <v>20</v>
      </c>
      <c r="F10" t="str">
        <f t="shared" si="0"/>
        <v>Low</v>
      </c>
    </row>
    <row r="11" spans="1:6">
      <c r="A11">
        <v>1010</v>
      </c>
      <c r="B11" t="s">
        <v>1777</v>
      </c>
      <c r="C11" t="s">
        <v>14</v>
      </c>
      <c r="D11" t="s">
        <v>646</v>
      </c>
      <c r="E11">
        <f>IF(VLOOKUP(A11,'Client Master Data'!A:G,4,FALSE)="High",30,IF(VLOOKUP(A11,'Client Master Data'!A:G,4,FALSE)="Medium",20,10))+IF(VLOOKUP(A11,'Client Master Data'!A:G,7,FALSE)="Yes",40,0)+IF(C11="Yes",10,0)</f>
        <v>50</v>
      </c>
      <c r="F11" t="str">
        <f t="shared" si="0"/>
        <v>Medium</v>
      </c>
    </row>
    <row r="12" spans="1:6">
      <c r="A12">
        <v>1011</v>
      </c>
      <c r="B12" t="s">
        <v>1777</v>
      </c>
      <c r="C12" t="s">
        <v>20</v>
      </c>
      <c r="D12" t="s">
        <v>756</v>
      </c>
      <c r="E12">
        <f>IF(VLOOKUP(A12,'Client Master Data'!A:G,4,FALSE)="High",30,IF(VLOOKUP(A12,'Client Master Data'!A:G,4,FALSE)="Medium",20,10))+IF(VLOOKUP(A12,'Client Master Data'!A:G,7,FALSE)="Yes",40,0)+IF(C12="Yes",10,0)</f>
        <v>60</v>
      </c>
      <c r="F12" t="str">
        <f t="shared" si="0"/>
        <v>Medium</v>
      </c>
    </row>
    <row r="13" spans="1:6">
      <c r="A13">
        <v>1012</v>
      </c>
      <c r="B13" t="s">
        <v>1776</v>
      </c>
      <c r="C13" t="s">
        <v>14</v>
      </c>
      <c r="D13" t="s">
        <v>1735</v>
      </c>
      <c r="E13">
        <f>IF(VLOOKUP(A13,'Client Master Data'!A:G,4,FALSE)="High",30,IF(VLOOKUP(A13,'Client Master Data'!A:G,4,FALSE)="Medium",20,10))+IF(VLOOKUP(A13,'Client Master Data'!A:G,7,FALSE)="Yes",40,0)+IF(C13="Yes",10,0)</f>
        <v>20</v>
      </c>
      <c r="F13" t="str">
        <f t="shared" si="0"/>
        <v>Low</v>
      </c>
    </row>
    <row r="14" spans="1:6">
      <c r="A14">
        <v>1013</v>
      </c>
      <c r="B14" t="s">
        <v>1775</v>
      </c>
      <c r="C14" t="s">
        <v>20</v>
      </c>
      <c r="D14" t="s">
        <v>762</v>
      </c>
      <c r="E14">
        <f>IF(VLOOKUP(A14,'Client Master Data'!A:G,4,FALSE)="High",30,IF(VLOOKUP(A14,'Client Master Data'!A:G,4,FALSE)="Medium",20,10))+IF(VLOOKUP(A14,'Client Master Data'!A:G,7,FALSE)="Yes",40,0)+IF(C14="Yes",10,0)</f>
        <v>60</v>
      </c>
      <c r="F14" t="str">
        <f t="shared" si="0"/>
        <v>Medium</v>
      </c>
    </row>
    <row r="15" spans="1:6">
      <c r="A15">
        <v>1014</v>
      </c>
      <c r="B15" t="s">
        <v>1777</v>
      </c>
      <c r="C15" t="s">
        <v>14</v>
      </c>
      <c r="D15" t="s">
        <v>818</v>
      </c>
      <c r="E15">
        <f>IF(VLOOKUP(A15,'Client Master Data'!A:G,4,FALSE)="High",30,IF(VLOOKUP(A15,'Client Master Data'!A:G,4,FALSE)="Medium",20,10))+IF(VLOOKUP(A15,'Client Master Data'!A:G,7,FALSE)="Yes",40,0)+IF(C15="Yes",10,0)</f>
        <v>50</v>
      </c>
      <c r="F15" t="str">
        <f t="shared" si="0"/>
        <v>Medium</v>
      </c>
    </row>
    <row r="16" spans="1:6">
      <c r="A16">
        <v>1015</v>
      </c>
      <c r="B16" t="s">
        <v>1777</v>
      </c>
      <c r="C16" t="s">
        <v>20</v>
      </c>
      <c r="D16" t="s">
        <v>773</v>
      </c>
      <c r="E16">
        <f>IF(VLOOKUP(A16,'Client Master Data'!A:G,4,FALSE)="High",30,IF(VLOOKUP(A16,'Client Master Data'!A:G,4,FALSE)="Medium",20,10))+IF(VLOOKUP(A16,'Client Master Data'!A:G,7,FALSE)="Yes",40,0)+IF(C16="Yes",10,0)</f>
        <v>20</v>
      </c>
      <c r="F16" t="str">
        <f t="shared" si="0"/>
        <v>Low</v>
      </c>
    </row>
    <row r="17" spans="1:6">
      <c r="A17">
        <v>1016</v>
      </c>
      <c r="B17" t="s">
        <v>1777</v>
      </c>
      <c r="C17" t="s">
        <v>20</v>
      </c>
      <c r="D17" t="s">
        <v>856</v>
      </c>
      <c r="E17">
        <f>IF(VLOOKUP(A17,'Client Master Data'!A:G,4,FALSE)="High",30,IF(VLOOKUP(A17,'Client Master Data'!A:G,4,FALSE)="Medium",20,10))+IF(VLOOKUP(A17,'Client Master Data'!A:G,7,FALSE)="Yes",40,0)+IF(C17="Yes",10,0)</f>
        <v>60</v>
      </c>
      <c r="F17" t="str">
        <f t="shared" si="0"/>
        <v>Medium</v>
      </c>
    </row>
    <row r="18" spans="1:6">
      <c r="A18">
        <v>1017</v>
      </c>
      <c r="B18" t="s">
        <v>1777</v>
      </c>
      <c r="C18" t="s">
        <v>20</v>
      </c>
      <c r="D18" t="s">
        <v>915</v>
      </c>
      <c r="E18">
        <f>IF(VLOOKUP(A18,'Client Master Data'!A:G,4,FALSE)="High",30,IF(VLOOKUP(A18,'Client Master Data'!A:G,4,FALSE)="Medium",20,10))+IF(VLOOKUP(A18,'Client Master Data'!A:G,7,FALSE)="Yes",40,0)+IF(C18="Yes",10,0)</f>
        <v>30</v>
      </c>
      <c r="F18" t="str">
        <f t="shared" si="0"/>
        <v>Low</v>
      </c>
    </row>
    <row r="19" spans="1:6">
      <c r="A19">
        <v>1018</v>
      </c>
      <c r="B19" t="s">
        <v>1777</v>
      </c>
      <c r="C19" t="s">
        <v>14</v>
      </c>
      <c r="D19" t="s">
        <v>858</v>
      </c>
      <c r="E19">
        <f>IF(VLOOKUP(A19,'Client Master Data'!A:G,4,FALSE)="High",30,IF(VLOOKUP(A19,'Client Master Data'!A:G,4,FALSE)="Medium",20,10))+IF(VLOOKUP(A19,'Client Master Data'!A:G,7,FALSE)="Yes",40,0)+IF(C19="Yes",10,0)</f>
        <v>10</v>
      </c>
      <c r="F19" t="str">
        <f t="shared" si="0"/>
        <v>Low</v>
      </c>
    </row>
    <row r="20" spans="1:6">
      <c r="A20">
        <v>1019</v>
      </c>
      <c r="B20" t="s">
        <v>1775</v>
      </c>
      <c r="C20" t="s">
        <v>14</v>
      </c>
      <c r="D20" t="s">
        <v>650</v>
      </c>
      <c r="E20">
        <f>IF(VLOOKUP(A20,'Client Master Data'!A:G,4,FALSE)="High",30,IF(VLOOKUP(A20,'Client Master Data'!A:G,4,FALSE)="Medium",20,10))+IF(VLOOKUP(A20,'Client Master Data'!A:G,7,FALSE)="Yes",40,0)+IF(C20="Yes",10,0)</f>
        <v>10</v>
      </c>
      <c r="F20" t="str">
        <f t="shared" si="0"/>
        <v>Low</v>
      </c>
    </row>
    <row r="21" spans="1:6">
      <c r="A21">
        <v>1020</v>
      </c>
      <c r="B21" t="s">
        <v>1777</v>
      </c>
      <c r="C21" t="s">
        <v>14</v>
      </c>
      <c r="D21" t="s">
        <v>652</v>
      </c>
      <c r="E21">
        <f>IF(VLOOKUP(A21,'Client Master Data'!A:G,4,FALSE)="High",30,IF(VLOOKUP(A21,'Client Master Data'!A:G,4,FALSE)="Medium",20,10))+IF(VLOOKUP(A21,'Client Master Data'!A:G,7,FALSE)="Yes",40,0)+IF(C21="Yes",10,0)</f>
        <v>30</v>
      </c>
      <c r="F21" t="str">
        <f t="shared" si="0"/>
        <v>Low</v>
      </c>
    </row>
    <row r="22" spans="1:6">
      <c r="A22">
        <v>1021</v>
      </c>
      <c r="B22" t="s">
        <v>1776</v>
      </c>
      <c r="C22" t="s">
        <v>20</v>
      </c>
      <c r="D22" t="s">
        <v>663</v>
      </c>
      <c r="E22">
        <f>IF(VLOOKUP(A22,'Client Master Data'!A:G,4,FALSE)="High",30,IF(VLOOKUP(A22,'Client Master Data'!A:G,4,FALSE)="Medium",20,10))+IF(VLOOKUP(A22,'Client Master Data'!A:G,7,FALSE)="Yes",40,0)+IF(C22="Yes",10,0)</f>
        <v>20</v>
      </c>
      <c r="F22" t="str">
        <f t="shared" si="0"/>
        <v>Low</v>
      </c>
    </row>
    <row r="23" spans="1:6">
      <c r="A23">
        <v>1022</v>
      </c>
      <c r="B23" t="s">
        <v>1776</v>
      </c>
      <c r="C23" t="s">
        <v>14</v>
      </c>
      <c r="D23" t="s">
        <v>725</v>
      </c>
      <c r="E23">
        <f>IF(VLOOKUP(A23,'Client Master Data'!A:G,4,FALSE)="High",30,IF(VLOOKUP(A23,'Client Master Data'!A:G,4,FALSE)="Medium",20,10))+IF(VLOOKUP(A23,'Client Master Data'!A:G,7,FALSE)="Yes",40,0)+IF(C23="Yes",10,0)</f>
        <v>50</v>
      </c>
      <c r="F23" t="str">
        <f t="shared" si="0"/>
        <v>Medium</v>
      </c>
    </row>
    <row r="24" spans="1:6">
      <c r="A24">
        <v>1023</v>
      </c>
      <c r="B24" t="s">
        <v>1777</v>
      </c>
      <c r="C24" t="s">
        <v>14</v>
      </c>
      <c r="D24" t="s">
        <v>725</v>
      </c>
      <c r="E24">
        <f>IF(VLOOKUP(A24,'Client Master Data'!A:G,4,FALSE)="High",30,IF(VLOOKUP(A24,'Client Master Data'!A:G,4,FALSE)="Medium",20,10))+IF(VLOOKUP(A24,'Client Master Data'!A:G,7,FALSE)="Yes",40,0)+IF(C24="Yes",10,0)</f>
        <v>50</v>
      </c>
      <c r="F24" t="str">
        <f t="shared" si="0"/>
        <v>Medium</v>
      </c>
    </row>
    <row r="25" spans="1:6">
      <c r="A25">
        <v>1024</v>
      </c>
      <c r="B25" t="s">
        <v>1775</v>
      </c>
      <c r="C25" t="s">
        <v>20</v>
      </c>
      <c r="D25" t="s">
        <v>881</v>
      </c>
      <c r="E25">
        <f>IF(VLOOKUP(A25,'Client Master Data'!A:G,4,FALSE)="High",30,IF(VLOOKUP(A25,'Client Master Data'!A:G,4,FALSE)="Medium",20,10))+IF(VLOOKUP(A25,'Client Master Data'!A:G,7,FALSE)="Yes",40,0)+IF(C25="Yes",10,0)</f>
        <v>20</v>
      </c>
      <c r="F25" t="str">
        <f t="shared" si="0"/>
        <v>Low</v>
      </c>
    </row>
    <row r="26" spans="1:6">
      <c r="A26">
        <v>1025</v>
      </c>
      <c r="B26" t="s">
        <v>1776</v>
      </c>
      <c r="C26" t="s">
        <v>14</v>
      </c>
      <c r="D26" t="s">
        <v>948</v>
      </c>
      <c r="E26">
        <f>IF(VLOOKUP(A26,'Client Master Data'!A:G,4,FALSE)="High",30,IF(VLOOKUP(A26,'Client Master Data'!A:G,4,FALSE)="Medium",20,10))+IF(VLOOKUP(A26,'Client Master Data'!A:G,7,FALSE)="Yes",40,0)+IF(C26="Yes",10,0)</f>
        <v>50</v>
      </c>
      <c r="F26" t="str">
        <f t="shared" si="0"/>
        <v>Medium</v>
      </c>
    </row>
    <row r="27" spans="1:6">
      <c r="A27">
        <v>1026</v>
      </c>
      <c r="B27" t="s">
        <v>1775</v>
      </c>
      <c r="C27" t="s">
        <v>20</v>
      </c>
      <c r="D27" t="s">
        <v>663</v>
      </c>
      <c r="E27">
        <f>IF(VLOOKUP(A27,'Client Master Data'!A:G,4,FALSE)="High",30,IF(VLOOKUP(A27,'Client Master Data'!A:G,4,FALSE)="Medium",20,10))+IF(VLOOKUP(A27,'Client Master Data'!A:G,7,FALSE)="Yes",40,0)+IF(C27="Yes",10,0)</f>
        <v>20</v>
      </c>
      <c r="F27" t="str">
        <f t="shared" si="0"/>
        <v>Low</v>
      </c>
    </row>
    <row r="28" spans="1:6">
      <c r="A28">
        <v>1027</v>
      </c>
      <c r="B28" t="s">
        <v>1777</v>
      </c>
      <c r="C28" t="s">
        <v>20</v>
      </c>
      <c r="D28" t="s">
        <v>687</v>
      </c>
      <c r="E28">
        <f>IF(VLOOKUP(A28,'Client Master Data'!A:G,4,FALSE)="High",30,IF(VLOOKUP(A28,'Client Master Data'!A:G,4,FALSE)="Medium",20,10))+IF(VLOOKUP(A28,'Client Master Data'!A:G,7,FALSE)="Yes",40,0)+IF(C28="Yes",10,0)</f>
        <v>80</v>
      </c>
      <c r="F28" t="str">
        <f t="shared" si="0"/>
        <v>High</v>
      </c>
    </row>
    <row r="29" spans="1:6">
      <c r="A29">
        <v>1028</v>
      </c>
      <c r="B29" t="s">
        <v>1775</v>
      </c>
      <c r="C29" t="s">
        <v>14</v>
      </c>
      <c r="D29" t="s">
        <v>652</v>
      </c>
      <c r="E29">
        <f>IF(VLOOKUP(A29,'Client Master Data'!A:G,4,FALSE)="High",30,IF(VLOOKUP(A29,'Client Master Data'!A:G,4,FALSE)="Medium",20,10))+IF(VLOOKUP(A29,'Client Master Data'!A:G,7,FALSE)="Yes",40,0)+IF(C29="Yes",10,0)</f>
        <v>30</v>
      </c>
      <c r="F29" t="str">
        <f t="shared" si="0"/>
        <v>Low</v>
      </c>
    </row>
    <row r="30" spans="1:6">
      <c r="A30">
        <v>1029</v>
      </c>
      <c r="B30" t="s">
        <v>1775</v>
      </c>
      <c r="C30" t="s">
        <v>20</v>
      </c>
      <c r="D30" t="s">
        <v>606</v>
      </c>
      <c r="E30">
        <f>IF(VLOOKUP(A30,'Client Master Data'!A:G,4,FALSE)="High",30,IF(VLOOKUP(A30,'Client Master Data'!A:G,4,FALSE)="Medium",20,10))+IF(VLOOKUP(A30,'Client Master Data'!A:G,7,FALSE)="Yes",40,0)+IF(C30="Yes",10,0)</f>
        <v>20</v>
      </c>
      <c r="F30" t="str">
        <f t="shared" si="0"/>
        <v>Low</v>
      </c>
    </row>
    <row r="31" spans="1:6">
      <c r="A31">
        <v>1030</v>
      </c>
      <c r="B31" t="s">
        <v>1777</v>
      </c>
      <c r="C31" t="s">
        <v>14</v>
      </c>
      <c r="D31" t="s">
        <v>912</v>
      </c>
      <c r="E31">
        <f>IF(VLOOKUP(A31,'Client Master Data'!A:G,4,FALSE)="High",30,IF(VLOOKUP(A31,'Client Master Data'!A:G,4,FALSE)="Medium",20,10))+IF(VLOOKUP(A31,'Client Master Data'!A:G,7,FALSE)="Yes",40,0)+IF(C31="Yes",10,0)</f>
        <v>70</v>
      </c>
      <c r="F31" t="str">
        <f t="shared" si="0"/>
        <v>Medium</v>
      </c>
    </row>
    <row r="32" spans="1:6">
      <c r="A32">
        <v>1031</v>
      </c>
      <c r="B32" t="s">
        <v>1775</v>
      </c>
      <c r="C32" t="s">
        <v>14</v>
      </c>
      <c r="D32" t="s">
        <v>640</v>
      </c>
      <c r="E32">
        <f>IF(VLOOKUP(A32,'Client Master Data'!A:G,4,FALSE)="High",30,IF(VLOOKUP(A32,'Client Master Data'!A:G,4,FALSE)="Medium",20,10))+IF(VLOOKUP(A32,'Client Master Data'!A:G,7,FALSE)="Yes",40,0)+IF(C32="Yes",10,0)</f>
        <v>30</v>
      </c>
      <c r="F32" t="str">
        <f t="shared" si="0"/>
        <v>Low</v>
      </c>
    </row>
    <row r="33" spans="1:6">
      <c r="A33">
        <v>1032</v>
      </c>
      <c r="B33" t="s">
        <v>1777</v>
      </c>
      <c r="C33" t="s">
        <v>14</v>
      </c>
      <c r="D33" t="s">
        <v>736</v>
      </c>
      <c r="E33">
        <f>IF(VLOOKUP(A33,'Client Master Data'!A:G,4,FALSE)="High",30,IF(VLOOKUP(A33,'Client Master Data'!A:G,4,FALSE)="Medium",20,10))+IF(VLOOKUP(A33,'Client Master Data'!A:G,7,FALSE)="Yes",40,0)+IF(C33="Yes",10,0)</f>
        <v>50</v>
      </c>
      <c r="F33" t="str">
        <f t="shared" si="0"/>
        <v>Medium</v>
      </c>
    </row>
    <row r="34" spans="1:6">
      <c r="A34">
        <v>1033</v>
      </c>
      <c r="B34" t="s">
        <v>1776</v>
      </c>
      <c r="C34" t="s">
        <v>20</v>
      </c>
      <c r="D34" t="s">
        <v>610</v>
      </c>
      <c r="E34">
        <f>IF(VLOOKUP(A34,'Client Master Data'!A:G,4,FALSE)="High",30,IF(VLOOKUP(A34,'Client Master Data'!A:G,4,FALSE)="Medium",20,10))+IF(VLOOKUP(A34,'Client Master Data'!A:G,7,FALSE)="Yes",40,0)+IF(C34="Yes",10,0)</f>
        <v>60</v>
      </c>
      <c r="F34" t="str">
        <f t="shared" si="0"/>
        <v>Medium</v>
      </c>
    </row>
    <row r="35" spans="1:6">
      <c r="A35">
        <v>1034</v>
      </c>
      <c r="B35" t="s">
        <v>1775</v>
      </c>
      <c r="C35" t="s">
        <v>14</v>
      </c>
      <c r="D35" t="s">
        <v>930</v>
      </c>
      <c r="E35">
        <f>IF(VLOOKUP(A35,'Client Master Data'!A:G,4,FALSE)="High",30,IF(VLOOKUP(A35,'Client Master Data'!A:G,4,FALSE)="Medium",20,10))+IF(VLOOKUP(A35,'Client Master Data'!A:G,7,FALSE)="Yes",40,0)+IF(C35="Yes",10,0)</f>
        <v>50</v>
      </c>
      <c r="F35" t="str">
        <f t="shared" si="0"/>
        <v>Medium</v>
      </c>
    </row>
    <row r="36" spans="1:6">
      <c r="A36">
        <v>1035</v>
      </c>
      <c r="B36" t="s">
        <v>1777</v>
      </c>
      <c r="C36" t="s">
        <v>20</v>
      </c>
      <c r="D36" t="s">
        <v>1028</v>
      </c>
      <c r="E36">
        <f>IF(VLOOKUP(A36,'Client Master Data'!A:G,4,FALSE)="High",30,IF(VLOOKUP(A36,'Client Master Data'!A:G,4,FALSE)="Medium",20,10))+IF(VLOOKUP(A36,'Client Master Data'!A:G,7,FALSE)="Yes",40,0)+IF(C36="Yes",10,0)</f>
        <v>60</v>
      </c>
      <c r="F36" t="str">
        <f t="shared" si="0"/>
        <v>Medium</v>
      </c>
    </row>
    <row r="37" spans="1:6">
      <c r="A37">
        <v>1036</v>
      </c>
      <c r="B37" t="s">
        <v>1775</v>
      </c>
      <c r="C37" t="s">
        <v>14</v>
      </c>
      <c r="D37" t="s">
        <v>912</v>
      </c>
      <c r="E37">
        <f>IF(VLOOKUP(A37,'Client Master Data'!A:G,4,FALSE)="High",30,IF(VLOOKUP(A37,'Client Master Data'!A:G,4,FALSE)="Medium",20,10))+IF(VLOOKUP(A37,'Client Master Data'!A:G,7,FALSE)="Yes",40,0)+IF(C37="Yes",10,0)</f>
        <v>10</v>
      </c>
      <c r="F37" t="str">
        <f t="shared" si="0"/>
        <v>Low</v>
      </c>
    </row>
    <row r="38" spans="1:6">
      <c r="A38">
        <v>1037</v>
      </c>
      <c r="B38" t="s">
        <v>1776</v>
      </c>
      <c r="C38" t="s">
        <v>14</v>
      </c>
      <c r="D38" t="s">
        <v>826</v>
      </c>
      <c r="E38">
        <f>IF(VLOOKUP(A38,'Client Master Data'!A:G,4,FALSE)="High",30,IF(VLOOKUP(A38,'Client Master Data'!A:G,4,FALSE)="Medium",20,10))+IF(VLOOKUP(A38,'Client Master Data'!A:G,7,FALSE)="Yes",40,0)+IF(C38="Yes",10,0)</f>
        <v>70</v>
      </c>
      <c r="F38" t="str">
        <f t="shared" si="0"/>
        <v>Medium</v>
      </c>
    </row>
    <row r="39" spans="1:6">
      <c r="A39">
        <v>1038</v>
      </c>
      <c r="B39" t="s">
        <v>1775</v>
      </c>
      <c r="C39" t="s">
        <v>14</v>
      </c>
      <c r="D39" t="s">
        <v>696</v>
      </c>
      <c r="E39">
        <f>IF(VLOOKUP(A39,'Client Master Data'!A:G,4,FALSE)="High",30,IF(VLOOKUP(A39,'Client Master Data'!A:G,4,FALSE)="Medium",20,10))+IF(VLOOKUP(A39,'Client Master Data'!A:G,7,FALSE)="Yes",40,0)+IF(C39="Yes",10,0)</f>
        <v>70</v>
      </c>
      <c r="F39" t="str">
        <f t="shared" si="0"/>
        <v>Medium</v>
      </c>
    </row>
    <row r="40" spans="1:6">
      <c r="A40">
        <v>1039</v>
      </c>
      <c r="B40" t="s">
        <v>1775</v>
      </c>
      <c r="C40" t="s">
        <v>14</v>
      </c>
      <c r="D40" t="s">
        <v>863</v>
      </c>
      <c r="E40">
        <f>IF(VLOOKUP(A40,'Client Master Data'!A:G,4,FALSE)="High",30,IF(VLOOKUP(A40,'Client Master Data'!A:G,4,FALSE)="Medium",20,10))+IF(VLOOKUP(A40,'Client Master Data'!A:G,7,FALSE)="Yes",40,0)+IF(C40="Yes",10,0)</f>
        <v>60</v>
      </c>
      <c r="F40" t="str">
        <f t="shared" si="0"/>
        <v>Medium</v>
      </c>
    </row>
    <row r="41" spans="1:6">
      <c r="A41">
        <v>1040</v>
      </c>
      <c r="B41" t="s">
        <v>1777</v>
      </c>
      <c r="C41" t="s">
        <v>20</v>
      </c>
      <c r="D41" t="s">
        <v>652</v>
      </c>
      <c r="E41">
        <f>IF(VLOOKUP(A41,'Client Master Data'!A:G,4,FALSE)="High",30,IF(VLOOKUP(A41,'Client Master Data'!A:G,4,FALSE)="Medium",20,10))+IF(VLOOKUP(A41,'Client Master Data'!A:G,7,FALSE)="Yes",40,0)+IF(C41="Yes",10,0)</f>
        <v>80</v>
      </c>
      <c r="F41" t="str">
        <f t="shared" si="0"/>
        <v>High</v>
      </c>
    </row>
    <row r="42" spans="1:6">
      <c r="A42">
        <v>1041</v>
      </c>
      <c r="B42" t="s">
        <v>1776</v>
      </c>
      <c r="C42" t="s">
        <v>14</v>
      </c>
      <c r="D42" t="s">
        <v>997</v>
      </c>
      <c r="E42">
        <f>IF(VLOOKUP(A42,'Client Master Data'!A:G,4,FALSE)="High",30,IF(VLOOKUP(A42,'Client Master Data'!A:G,4,FALSE)="Medium",20,10))+IF(VLOOKUP(A42,'Client Master Data'!A:G,7,FALSE)="Yes",40,0)+IF(C42="Yes",10,0)</f>
        <v>60</v>
      </c>
      <c r="F42" t="str">
        <f t="shared" si="0"/>
        <v>Medium</v>
      </c>
    </row>
    <row r="43" spans="1:6">
      <c r="A43">
        <v>1042</v>
      </c>
      <c r="B43" t="s">
        <v>1775</v>
      </c>
      <c r="C43" t="s">
        <v>20</v>
      </c>
      <c r="D43" t="s">
        <v>866</v>
      </c>
      <c r="E43">
        <f>IF(VLOOKUP(A43,'Client Master Data'!A:G,4,FALSE)="High",30,IF(VLOOKUP(A43,'Client Master Data'!A:G,4,FALSE)="Medium",20,10))+IF(VLOOKUP(A43,'Client Master Data'!A:G,7,FALSE)="Yes",40,0)+IF(C43="Yes",10,0)</f>
        <v>70</v>
      </c>
      <c r="F43" t="str">
        <f t="shared" si="0"/>
        <v>Medium</v>
      </c>
    </row>
    <row r="44" spans="1:6">
      <c r="A44">
        <v>1043</v>
      </c>
      <c r="B44" t="s">
        <v>1775</v>
      </c>
      <c r="C44" t="s">
        <v>20</v>
      </c>
      <c r="D44" t="s">
        <v>863</v>
      </c>
      <c r="E44">
        <f>IF(VLOOKUP(A44,'Client Master Data'!A:G,4,FALSE)="High",30,IF(VLOOKUP(A44,'Client Master Data'!A:G,4,FALSE)="Medium",20,10))+IF(VLOOKUP(A44,'Client Master Data'!A:G,7,FALSE)="Yes",40,0)+IF(C44="Yes",10,0)</f>
        <v>40</v>
      </c>
      <c r="F44" t="str">
        <f t="shared" si="0"/>
        <v>Medium</v>
      </c>
    </row>
    <row r="45" spans="1:6">
      <c r="A45">
        <v>1044</v>
      </c>
      <c r="B45" t="s">
        <v>1775</v>
      </c>
      <c r="C45" t="s">
        <v>20</v>
      </c>
      <c r="D45" t="s">
        <v>1006</v>
      </c>
      <c r="E45">
        <f>IF(VLOOKUP(A45,'Client Master Data'!A:G,4,FALSE)="High",30,IF(VLOOKUP(A45,'Client Master Data'!A:G,4,FALSE)="Medium",20,10))+IF(VLOOKUP(A45,'Client Master Data'!A:G,7,FALSE)="Yes",40,0)+IF(C45="Yes",10,0)</f>
        <v>80</v>
      </c>
      <c r="F45" t="str">
        <f t="shared" si="0"/>
        <v>High</v>
      </c>
    </row>
    <row r="46" spans="1:6">
      <c r="A46">
        <v>1045</v>
      </c>
      <c r="B46" t="s">
        <v>1775</v>
      </c>
      <c r="C46" t="s">
        <v>20</v>
      </c>
      <c r="D46" t="s">
        <v>640</v>
      </c>
      <c r="E46">
        <f>IF(VLOOKUP(A46,'Client Master Data'!A:G,4,FALSE)="High",30,IF(VLOOKUP(A46,'Client Master Data'!A:G,4,FALSE)="Medium",20,10))+IF(VLOOKUP(A46,'Client Master Data'!A:G,7,FALSE)="Yes",40,0)+IF(C46="Yes",10,0)</f>
        <v>20</v>
      </c>
      <c r="F46" t="str">
        <f t="shared" si="0"/>
        <v>Low</v>
      </c>
    </row>
    <row r="47" spans="1:6">
      <c r="A47">
        <v>1046</v>
      </c>
      <c r="B47" t="s">
        <v>1776</v>
      </c>
      <c r="C47" t="s">
        <v>20</v>
      </c>
      <c r="D47" t="s">
        <v>673</v>
      </c>
      <c r="E47">
        <f>IF(VLOOKUP(A47,'Client Master Data'!A:G,4,FALSE)="High",30,IF(VLOOKUP(A47,'Client Master Data'!A:G,4,FALSE)="Medium",20,10))+IF(VLOOKUP(A47,'Client Master Data'!A:G,7,FALSE)="Yes",40,0)+IF(C47="Yes",10,0)</f>
        <v>40</v>
      </c>
      <c r="F47" t="str">
        <f t="shared" si="0"/>
        <v>Medium</v>
      </c>
    </row>
    <row r="48" spans="1:6">
      <c r="A48">
        <v>1047</v>
      </c>
      <c r="B48" t="s">
        <v>1777</v>
      </c>
      <c r="C48" t="s">
        <v>20</v>
      </c>
      <c r="D48" t="s">
        <v>856</v>
      </c>
      <c r="E48">
        <f>IF(VLOOKUP(A48,'Client Master Data'!A:G,4,FALSE)="High",30,IF(VLOOKUP(A48,'Client Master Data'!A:G,4,FALSE)="Medium",20,10))+IF(VLOOKUP(A48,'Client Master Data'!A:G,7,FALSE)="Yes",40,0)+IF(C48="Yes",10,0)</f>
        <v>20</v>
      </c>
      <c r="F48" t="str">
        <f t="shared" si="0"/>
        <v>Low</v>
      </c>
    </row>
    <row r="49" spans="1:6">
      <c r="A49">
        <v>1048</v>
      </c>
      <c r="B49" t="s">
        <v>1777</v>
      </c>
      <c r="C49" t="s">
        <v>14</v>
      </c>
      <c r="D49" t="s">
        <v>1400</v>
      </c>
      <c r="E49">
        <f>IF(VLOOKUP(A49,'Client Master Data'!A:G,4,FALSE)="High",30,IF(VLOOKUP(A49,'Client Master Data'!A:G,4,FALSE)="Medium",20,10))+IF(VLOOKUP(A49,'Client Master Data'!A:G,7,FALSE)="Yes",40,0)+IF(C49="Yes",10,0)</f>
        <v>50</v>
      </c>
      <c r="F49" t="str">
        <f t="shared" si="0"/>
        <v>Medium</v>
      </c>
    </row>
    <row r="50" spans="1:6">
      <c r="A50">
        <v>1049</v>
      </c>
      <c r="B50" t="s">
        <v>1777</v>
      </c>
      <c r="C50" t="s">
        <v>20</v>
      </c>
      <c r="D50" t="s">
        <v>612</v>
      </c>
      <c r="E50">
        <f>IF(VLOOKUP(A50,'Client Master Data'!A:G,4,FALSE)="High",30,IF(VLOOKUP(A50,'Client Master Data'!A:G,4,FALSE)="Medium",20,10))+IF(VLOOKUP(A50,'Client Master Data'!A:G,7,FALSE)="Yes",40,0)+IF(C50="Yes",10,0)</f>
        <v>40</v>
      </c>
      <c r="F50" t="str">
        <f t="shared" si="0"/>
        <v>Medium</v>
      </c>
    </row>
    <row r="51" spans="1:6">
      <c r="A51">
        <v>1050</v>
      </c>
      <c r="B51" t="s">
        <v>1776</v>
      </c>
      <c r="C51" t="s">
        <v>14</v>
      </c>
      <c r="D51" t="s">
        <v>888</v>
      </c>
      <c r="E51">
        <f>IF(VLOOKUP(A51,'Client Master Data'!A:G,4,FALSE)="High",30,IF(VLOOKUP(A51,'Client Master Data'!A:G,4,FALSE)="Medium",20,10))+IF(VLOOKUP(A51,'Client Master Data'!A:G,7,FALSE)="Yes",40,0)+IF(C51="Yes",10,0)</f>
        <v>50</v>
      </c>
      <c r="F51" t="str">
        <f t="shared" si="0"/>
        <v>Medium</v>
      </c>
    </row>
    <row r="52" spans="1:6">
      <c r="A52">
        <v>1051</v>
      </c>
      <c r="B52" t="s">
        <v>1775</v>
      </c>
      <c r="C52" t="s">
        <v>14</v>
      </c>
      <c r="D52" t="s">
        <v>692</v>
      </c>
      <c r="E52">
        <f>IF(VLOOKUP(A52,'Client Master Data'!A:G,4,FALSE)="High",30,IF(VLOOKUP(A52,'Client Master Data'!A:G,4,FALSE)="Medium",20,10))+IF(VLOOKUP(A52,'Client Master Data'!A:G,7,FALSE)="Yes",40,0)+IF(C52="Yes",10,0)</f>
        <v>50</v>
      </c>
      <c r="F52" t="str">
        <f t="shared" si="0"/>
        <v>Medium</v>
      </c>
    </row>
    <row r="53" spans="1:6">
      <c r="A53">
        <v>1052</v>
      </c>
      <c r="B53" t="s">
        <v>1775</v>
      </c>
      <c r="C53" t="s">
        <v>20</v>
      </c>
      <c r="D53" t="s">
        <v>921</v>
      </c>
      <c r="E53">
        <f>IF(VLOOKUP(A53,'Client Master Data'!A:G,4,FALSE)="High",30,IF(VLOOKUP(A53,'Client Master Data'!A:G,4,FALSE)="Medium",20,10))+IF(VLOOKUP(A53,'Client Master Data'!A:G,7,FALSE)="Yes",40,0)+IF(C53="Yes",10,0)</f>
        <v>60</v>
      </c>
      <c r="F53" t="str">
        <f t="shared" si="0"/>
        <v>Medium</v>
      </c>
    </row>
    <row r="54" spans="1:6">
      <c r="A54">
        <v>1053</v>
      </c>
      <c r="B54" t="s">
        <v>1776</v>
      </c>
      <c r="C54" t="s">
        <v>14</v>
      </c>
      <c r="D54" t="s">
        <v>950</v>
      </c>
      <c r="E54">
        <f>IF(VLOOKUP(A54,'Client Master Data'!A:G,4,FALSE)="High",30,IF(VLOOKUP(A54,'Client Master Data'!A:G,4,FALSE)="Medium",20,10))+IF(VLOOKUP(A54,'Client Master Data'!A:G,7,FALSE)="Yes",40,0)+IF(C54="Yes",10,0)</f>
        <v>70</v>
      </c>
      <c r="F54" t="str">
        <f t="shared" si="0"/>
        <v>Medium</v>
      </c>
    </row>
    <row r="55" spans="1:6">
      <c r="A55">
        <v>1054</v>
      </c>
      <c r="B55" t="s">
        <v>1776</v>
      </c>
      <c r="C55" t="s">
        <v>20</v>
      </c>
      <c r="D55" t="s">
        <v>747</v>
      </c>
      <c r="E55">
        <f>IF(VLOOKUP(A55,'Client Master Data'!A:G,4,FALSE)="High",30,IF(VLOOKUP(A55,'Client Master Data'!A:G,4,FALSE)="Medium",20,10))+IF(VLOOKUP(A55,'Client Master Data'!A:G,7,FALSE)="Yes",40,0)+IF(C55="Yes",10,0)</f>
        <v>40</v>
      </c>
      <c r="F55" t="str">
        <f t="shared" si="0"/>
        <v>Medium</v>
      </c>
    </row>
    <row r="56" spans="1:6">
      <c r="A56">
        <v>1055</v>
      </c>
      <c r="B56" t="s">
        <v>1775</v>
      </c>
      <c r="C56" t="s">
        <v>20</v>
      </c>
      <c r="D56" t="s">
        <v>1324</v>
      </c>
      <c r="E56">
        <f>IF(VLOOKUP(A56,'Client Master Data'!A:G,4,FALSE)="High",30,IF(VLOOKUP(A56,'Client Master Data'!A:G,4,FALSE)="Medium",20,10))+IF(VLOOKUP(A56,'Client Master Data'!A:G,7,FALSE)="Yes",40,0)+IF(C56="Yes",10,0)</f>
        <v>60</v>
      </c>
      <c r="F56" t="str">
        <f t="shared" si="0"/>
        <v>Medium</v>
      </c>
    </row>
    <row r="57" spans="1:6">
      <c r="A57">
        <v>1056</v>
      </c>
      <c r="B57" t="s">
        <v>1776</v>
      </c>
      <c r="C57" t="s">
        <v>20</v>
      </c>
      <c r="D57" t="s">
        <v>1115</v>
      </c>
      <c r="E57">
        <f>IF(VLOOKUP(A57,'Client Master Data'!A:G,4,FALSE)="High",30,IF(VLOOKUP(A57,'Client Master Data'!A:G,4,FALSE)="Medium",20,10))+IF(VLOOKUP(A57,'Client Master Data'!A:G,7,FALSE)="Yes",40,0)+IF(C57="Yes",10,0)</f>
        <v>40</v>
      </c>
      <c r="F57" t="str">
        <f t="shared" si="0"/>
        <v>Medium</v>
      </c>
    </row>
    <row r="58" spans="1:6">
      <c r="A58">
        <v>1057</v>
      </c>
      <c r="B58" t="s">
        <v>1777</v>
      </c>
      <c r="C58" t="s">
        <v>14</v>
      </c>
      <c r="D58" t="s">
        <v>1476</v>
      </c>
      <c r="E58">
        <f>IF(VLOOKUP(A58,'Client Master Data'!A:G,4,FALSE)="High",30,IF(VLOOKUP(A58,'Client Master Data'!A:G,4,FALSE)="Medium",20,10))+IF(VLOOKUP(A58,'Client Master Data'!A:G,7,FALSE)="Yes",40,0)+IF(C58="Yes",10,0)</f>
        <v>30</v>
      </c>
      <c r="F58" t="str">
        <f t="shared" si="0"/>
        <v>Low</v>
      </c>
    </row>
    <row r="59" spans="1:6">
      <c r="A59">
        <v>1058</v>
      </c>
      <c r="B59" t="s">
        <v>1775</v>
      </c>
      <c r="C59" t="s">
        <v>20</v>
      </c>
      <c r="D59" t="s">
        <v>818</v>
      </c>
      <c r="E59">
        <f>IF(VLOOKUP(A59,'Client Master Data'!A:G,4,FALSE)="High",30,IF(VLOOKUP(A59,'Client Master Data'!A:G,4,FALSE)="Medium",20,10))+IF(VLOOKUP(A59,'Client Master Data'!A:G,7,FALSE)="Yes",40,0)+IF(C59="Yes",10,0)</f>
        <v>60</v>
      </c>
      <c r="F59" t="str">
        <f t="shared" si="0"/>
        <v>Medium</v>
      </c>
    </row>
    <row r="60" spans="1:6">
      <c r="A60">
        <v>1059</v>
      </c>
      <c r="B60" t="s">
        <v>1777</v>
      </c>
      <c r="C60" t="s">
        <v>14</v>
      </c>
      <c r="D60" t="s">
        <v>1028</v>
      </c>
      <c r="E60">
        <f>IF(VLOOKUP(A60,'Client Master Data'!A:G,4,FALSE)="High",30,IF(VLOOKUP(A60,'Client Master Data'!A:G,4,FALSE)="Medium",20,10))+IF(VLOOKUP(A60,'Client Master Data'!A:G,7,FALSE)="Yes",40,0)+IF(C60="Yes",10,0)</f>
        <v>70</v>
      </c>
      <c r="F60" t="str">
        <f t="shared" si="0"/>
        <v>Medium</v>
      </c>
    </row>
    <row r="61" spans="1:6">
      <c r="A61">
        <v>1060</v>
      </c>
      <c r="B61" t="s">
        <v>1777</v>
      </c>
      <c r="C61" t="s">
        <v>20</v>
      </c>
      <c r="D61" t="s">
        <v>989</v>
      </c>
      <c r="E61">
        <f>IF(VLOOKUP(A61,'Client Master Data'!A:G,4,FALSE)="High",30,IF(VLOOKUP(A61,'Client Master Data'!A:G,4,FALSE)="Medium",20,10))+IF(VLOOKUP(A61,'Client Master Data'!A:G,7,FALSE)="Yes",40,0)+IF(C61="Yes",10,0)</f>
        <v>20</v>
      </c>
      <c r="F61" t="str">
        <f t="shared" si="0"/>
        <v>Low</v>
      </c>
    </row>
    <row r="62" spans="1:6">
      <c r="A62">
        <v>1061</v>
      </c>
      <c r="B62" t="s">
        <v>1777</v>
      </c>
      <c r="C62" t="s">
        <v>20</v>
      </c>
      <c r="D62" t="s">
        <v>1133</v>
      </c>
      <c r="E62">
        <f>IF(VLOOKUP(A62,'Client Master Data'!A:G,4,FALSE)="High",30,IF(VLOOKUP(A62,'Client Master Data'!A:G,4,FALSE)="Medium",20,10))+IF(VLOOKUP(A62,'Client Master Data'!A:G,7,FALSE)="Yes",40,0)+IF(C62="Yes",10,0)</f>
        <v>20</v>
      </c>
      <c r="F62" t="str">
        <f t="shared" si="0"/>
        <v>Low</v>
      </c>
    </row>
    <row r="63" spans="1:6">
      <c r="A63">
        <v>1062</v>
      </c>
      <c r="B63" t="s">
        <v>1775</v>
      </c>
      <c r="C63" t="s">
        <v>14</v>
      </c>
      <c r="D63" t="s">
        <v>658</v>
      </c>
      <c r="E63">
        <f>IF(VLOOKUP(A63,'Client Master Data'!A:G,4,FALSE)="High",30,IF(VLOOKUP(A63,'Client Master Data'!A:G,4,FALSE)="Medium",20,10))+IF(VLOOKUP(A63,'Client Master Data'!A:G,7,FALSE)="Yes",40,0)+IF(C63="Yes",10,0)</f>
        <v>30</v>
      </c>
      <c r="F63" t="str">
        <f t="shared" si="0"/>
        <v>Low</v>
      </c>
    </row>
    <row r="64" spans="1:6">
      <c r="A64">
        <v>1063</v>
      </c>
      <c r="B64" t="s">
        <v>1775</v>
      </c>
      <c r="C64" t="s">
        <v>20</v>
      </c>
      <c r="D64" t="s">
        <v>958</v>
      </c>
      <c r="E64">
        <f>IF(VLOOKUP(A64,'Client Master Data'!A:G,4,FALSE)="High",30,IF(VLOOKUP(A64,'Client Master Data'!A:G,4,FALSE)="Medium",20,10))+IF(VLOOKUP(A64,'Client Master Data'!A:G,7,FALSE)="Yes",40,0)+IF(C64="Yes",10,0)</f>
        <v>20</v>
      </c>
      <c r="F64" t="str">
        <f t="shared" si="0"/>
        <v>Low</v>
      </c>
    </row>
    <row r="65" spans="1:6">
      <c r="A65">
        <v>1064</v>
      </c>
      <c r="B65" t="s">
        <v>1777</v>
      </c>
      <c r="C65" t="s">
        <v>20</v>
      </c>
      <c r="D65" t="s">
        <v>663</v>
      </c>
      <c r="E65">
        <f>IF(VLOOKUP(A65,'Client Master Data'!A:G,4,FALSE)="High",30,IF(VLOOKUP(A65,'Client Master Data'!A:G,4,FALSE)="Medium",20,10))+IF(VLOOKUP(A65,'Client Master Data'!A:G,7,FALSE)="Yes",40,0)+IF(C65="Yes",10,0)</f>
        <v>30</v>
      </c>
      <c r="F65" t="str">
        <f t="shared" si="0"/>
        <v>Low</v>
      </c>
    </row>
    <row r="66" spans="1:6">
      <c r="A66">
        <v>1065</v>
      </c>
      <c r="B66" t="s">
        <v>1776</v>
      </c>
      <c r="C66" t="s">
        <v>20</v>
      </c>
      <c r="D66" t="s">
        <v>754</v>
      </c>
      <c r="E66">
        <f>IF(VLOOKUP(A66,'Client Master Data'!A:G,4,FALSE)="High",30,IF(VLOOKUP(A66,'Client Master Data'!A:G,4,FALSE)="Medium",20,10))+IF(VLOOKUP(A66,'Client Master Data'!A:G,7,FALSE)="Yes",40,0)+IF(C66="Yes",10,0)</f>
        <v>60</v>
      </c>
      <c r="F66" t="str">
        <f t="shared" ref="F66:F129" si="1">IF(E66&lt;=30,"Low",IF(E66&lt;=70,"Medium","High"))</f>
        <v>Medium</v>
      </c>
    </row>
    <row r="67" spans="1:6">
      <c r="A67">
        <v>1066</v>
      </c>
      <c r="B67" t="s">
        <v>1776</v>
      </c>
      <c r="C67" t="s">
        <v>14</v>
      </c>
      <c r="D67" t="s">
        <v>1735</v>
      </c>
      <c r="E67">
        <f>IF(VLOOKUP(A67,'Client Master Data'!A:G,4,FALSE)="High",30,IF(VLOOKUP(A67,'Client Master Data'!A:G,4,FALSE)="Medium",20,10))+IF(VLOOKUP(A67,'Client Master Data'!A:G,7,FALSE)="Yes",40,0)+IF(C67="Yes",10,0)</f>
        <v>70</v>
      </c>
      <c r="F67" t="str">
        <f t="shared" si="1"/>
        <v>Medium</v>
      </c>
    </row>
    <row r="68" spans="1:6">
      <c r="A68">
        <v>1067</v>
      </c>
      <c r="B68" t="s">
        <v>1777</v>
      </c>
      <c r="C68" t="s">
        <v>14</v>
      </c>
      <c r="D68" t="s">
        <v>878</v>
      </c>
      <c r="E68">
        <f>IF(VLOOKUP(A68,'Client Master Data'!A:G,4,FALSE)="High",30,IF(VLOOKUP(A68,'Client Master Data'!A:G,4,FALSE)="Medium",20,10))+IF(VLOOKUP(A68,'Client Master Data'!A:G,7,FALSE)="Yes",40,0)+IF(C68="Yes",10,0)</f>
        <v>60</v>
      </c>
      <c r="F68" t="str">
        <f t="shared" si="1"/>
        <v>Medium</v>
      </c>
    </row>
    <row r="69" spans="1:6">
      <c r="A69">
        <v>1068</v>
      </c>
      <c r="B69" t="s">
        <v>1777</v>
      </c>
      <c r="C69" t="s">
        <v>20</v>
      </c>
      <c r="D69" t="s">
        <v>886</v>
      </c>
      <c r="E69">
        <f>IF(VLOOKUP(A69,'Client Master Data'!A:G,4,FALSE)="High",30,IF(VLOOKUP(A69,'Client Master Data'!A:G,4,FALSE)="Medium",20,10))+IF(VLOOKUP(A69,'Client Master Data'!A:G,7,FALSE)="Yes",40,0)+IF(C69="Yes",10,0)</f>
        <v>20</v>
      </c>
      <c r="F69" t="str">
        <f t="shared" si="1"/>
        <v>Low</v>
      </c>
    </row>
    <row r="70" spans="1:6">
      <c r="A70">
        <v>1069</v>
      </c>
      <c r="B70" t="s">
        <v>1775</v>
      </c>
      <c r="C70" t="s">
        <v>14</v>
      </c>
      <c r="D70" t="s">
        <v>731</v>
      </c>
      <c r="E70">
        <f>IF(VLOOKUP(A70,'Client Master Data'!A:G,4,FALSE)="High",30,IF(VLOOKUP(A70,'Client Master Data'!A:G,4,FALSE)="Medium",20,10))+IF(VLOOKUP(A70,'Client Master Data'!A:G,7,FALSE)="Yes",40,0)+IF(C70="Yes",10,0)</f>
        <v>20</v>
      </c>
      <c r="F70" t="str">
        <f t="shared" si="1"/>
        <v>Low</v>
      </c>
    </row>
    <row r="71" spans="1:6">
      <c r="A71">
        <v>1070</v>
      </c>
      <c r="B71" t="s">
        <v>1777</v>
      </c>
      <c r="C71" t="s">
        <v>14</v>
      </c>
      <c r="D71" t="s">
        <v>597</v>
      </c>
      <c r="E71">
        <f>IF(VLOOKUP(A71,'Client Master Data'!A:G,4,FALSE)="High",30,IF(VLOOKUP(A71,'Client Master Data'!A:G,4,FALSE)="Medium",20,10))+IF(VLOOKUP(A71,'Client Master Data'!A:G,7,FALSE)="Yes",40,0)+IF(C71="Yes",10,0)</f>
        <v>50</v>
      </c>
      <c r="F71" t="str">
        <f t="shared" si="1"/>
        <v>Medium</v>
      </c>
    </row>
    <row r="72" spans="1:6">
      <c r="A72">
        <v>1071</v>
      </c>
      <c r="B72" t="s">
        <v>1775</v>
      </c>
      <c r="C72" t="s">
        <v>14</v>
      </c>
      <c r="D72" t="s">
        <v>858</v>
      </c>
      <c r="E72">
        <f>IF(VLOOKUP(A72,'Client Master Data'!A:G,4,FALSE)="High",30,IF(VLOOKUP(A72,'Client Master Data'!A:G,4,FALSE)="Medium",20,10))+IF(VLOOKUP(A72,'Client Master Data'!A:G,7,FALSE)="Yes",40,0)+IF(C72="Yes",10,0)</f>
        <v>50</v>
      </c>
      <c r="F72" t="str">
        <f t="shared" si="1"/>
        <v>Medium</v>
      </c>
    </row>
    <row r="73" spans="1:6">
      <c r="A73">
        <v>1072</v>
      </c>
      <c r="B73" t="s">
        <v>1777</v>
      </c>
      <c r="C73" t="s">
        <v>14</v>
      </c>
      <c r="D73" t="s">
        <v>908</v>
      </c>
      <c r="E73">
        <f>IF(VLOOKUP(A73,'Client Master Data'!A:G,4,FALSE)="High",30,IF(VLOOKUP(A73,'Client Master Data'!A:G,4,FALSE)="Medium",20,10))+IF(VLOOKUP(A73,'Client Master Data'!A:G,7,FALSE)="Yes",40,0)+IF(C73="Yes",10,0)</f>
        <v>50</v>
      </c>
      <c r="F73" t="str">
        <f t="shared" si="1"/>
        <v>Medium</v>
      </c>
    </row>
    <row r="74" spans="1:6">
      <c r="A74">
        <v>1073</v>
      </c>
      <c r="B74" t="s">
        <v>1775</v>
      </c>
      <c r="C74" t="s">
        <v>14</v>
      </c>
      <c r="D74" t="s">
        <v>1022</v>
      </c>
      <c r="E74">
        <f>IF(VLOOKUP(A74,'Client Master Data'!A:G,4,FALSE)="High",30,IF(VLOOKUP(A74,'Client Master Data'!A:G,4,FALSE)="Medium",20,10))+IF(VLOOKUP(A74,'Client Master Data'!A:G,7,FALSE)="Yes",40,0)+IF(C74="Yes",10,0)</f>
        <v>50</v>
      </c>
      <c r="F74" t="str">
        <f t="shared" si="1"/>
        <v>Medium</v>
      </c>
    </row>
    <row r="75" spans="1:6">
      <c r="A75">
        <v>1074</v>
      </c>
      <c r="B75" t="s">
        <v>1777</v>
      </c>
      <c r="C75" t="s">
        <v>14</v>
      </c>
      <c r="D75" t="s">
        <v>740</v>
      </c>
      <c r="E75">
        <f>IF(VLOOKUP(A75,'Client Master Data'!A:G,4,FALSE)="High",30,IF(VLOOKUP(A75,'Client Master Data'!A:G,4,FALSE)="Medium",20,10))+IF(VLOOKUP(A75,'Client Master Data'!A:G,7,FALSE)="Yes",40,0)+IF(C75="Yes",10,0)</f>
        <v>30</v>
      </c>
      <c r="F75" t="str">
        <f t="shared" si="1"/>
        <v>Low</v>
      </c>
    </row>
    <row r="76" spans="1:6">
      <c r="A76">
        <v>1075</v>
      </c>
      <c r="B76" t="s">
        <v>1775</v>
      </c>
      <c r="C76" t="s">
        <v>20</v>
      </c>
      <c r="D76" t="s">
        <v>997</v>
      </c>
      <c r="E76">
        <f>IF(VLOOKUP(A76,'Client Master Data'!A:G,4,FALSE)="High",30,IF(VLOOKUP(A76,'Client Master Data'!A:G,4,FALSE)="Medium",20,10))+IF(VLOOKUP(A76,'Client Master Data'!A:G,7,FALSE)="Yes",40,0)+IF(C76="Yes",10,0)</f>
        <v>20</v>
      </c>
      <c r="F76" t="str">
        <f t="shared" si="1"/>
        <v>Low</v>
      </c>
    </row>
    <row r="77" spans="1:6">
      <c r="A77">
        <v>1076</v>
      </c>
      <c r="B77" t="s">
        <v>1777</v>
      </c>
      <c r="C77" t="s">
        <v>14</v>
      </c>
      <c r="D77" t="s">
        <v>798</v>
      </c>
      <c r="E77">
        <f>IF(VLOOKUP(A77,'Client Master Data'!A:G,4,FALSE)="High",30,IF(VLOOKUP(A77,'Client Master Data'!A:G,4,FALSE)="Medium",20,10))+IF(VLOOKUP(A77,'Client Master Data'!A:G,7,FALSE)="Yes",40,0)+IF(C77="Yes",10,0)</f>
        <v>10</v>
      </c>
      <c r="F77" t="str">
        <f t="shared" si="1"/>
        <v>Low</v>
      </c>
    </row>
    <row r="78" spans="1:6">
      <c r="A78">
        <v>1077</v>
      </c>
      <c r="B78" t="s">
        <v>1775</v>
      </c>
      <c r="C78" t="s">
        <v>20</v>
      </c>
      <c r="D78" t="s">
        <v>826</v>
      </c>
      <c r="E78">
        <f>IF(VLOOKUP(A78,'Client Master Data'!A:G,4,FALSE)="High",30,IF(VLOOKUP(A78,'Client Master Data'!A:G,4,FALSE)="Medium",20,10))+IF(VLOOKUP(A78,'Client Master Data'!A:G,7,FALSE)="Yes",40,0)+IF(C78="Yes",10,0)</f>
        <v>70</v>
      </c>
      <c r="F78" t="str">
        <f t="shared" si="1"/>
        <v>Medium</v>
      </c>
    </row>
    <row r="79" spans="1:6">
      <c r="A79">
        <v>1078</v>
      </c>
      <c r="B79" t="s">
        <v>1775</v>
      </c>
      <c r="C79" t="s">
        <v>20</v>
      </c>
      <c r="D79" t="s">
        <v>967</v>
      </c>
      <c r="E79">
        <f>IF(VLOOKUP(A79,'Client Master Data'!A:G,4,FALSE)="High",30,IF(VLOOKUP(A79,'Client Master Data'!A:G,4,FALSE)="Medium",20,10))+IF(VLOOKUP(A79,'Client Master Data'!A:G,7,FALSE)="Yes",40,0)+IF(C79="Yes",10,0)</f>
        <v>60</v>
      </c>
      <c r="F79" t="str">
        <f t="shared" si="1"/>
        <v>Medium</v>
      </c>
    </row>
    <row r="80" spans="1:6">
      <c r="A80">
        <v>1079</v>
      </c>
      <c r="B80" t="s">
        <v>1777</v>
      </c>
      <c r="C80" t="s">
        <v>20</v>
      </c>
      <c r="D80" t="s">
        <v>608</v>
      </c>
      <c r="E80">
        <f>IF(VLOOKUP(A80,'Client Master Data'!A:G,4,FALSE)="High",30,IF(VLOOKUP(A80,'Client Master Data'!A:G,4,FALSE)="Medium",20,10))+IF(VLOOKUP(A80,'Client Master Data'!A:G,7,FALSE)="Yes",40,0)+IF(C80="Yes",10,0)</f>
        <v>80</v>
      </c>
      <c r="F80" t="str">
        <f t="shared" si="1"/>
        <v>High</v>
      </c>
    </row>
    <row r="81" spans="1:6">
      <c r="A81">
        <v>1080</v>
      </c>
      <c r="B81" t="s">
        <v>1777</v>
      </c>
      <c r="C81" t="s">
        <v>20</v>
      </c>
      <c r="D81" t="s">
        <v>886</v>
      </c>
      <c r="E81">
        <f>IF(VLOOKUP(A81,'Client Master Data'!A:G,4,FALSE)="High",30,IF(VLOOKUP(A81,'Client Master Data'!A:G,4,FALSE)="Medium",20,10))+IF(VLOOKUP(A81,'Client Master Data'!A:G,7,FALSE)="Yes",40,0)+IF(C81="Yes",10,0)</f>
        <v>80</v>
      </c>
      <c r="F81" t="str">
        <f t="shared" si="1"/>
        <v>High</v>
      </c>
    </row>
    <row r="82" spans="1:6">
      <c r="A82">
        <v>1081</v>
      </c>
      <c r="B82" t="s">
        <v>1776</v>
      </c>
      <c r="C82" t="s">
        <v>20</v>
      </c>
      <c r="D82" t="s">
        <v>1056</v>
      </c>
      <c r="E82">
        <f>IF(VLOOKUP(A82,'Client Master Data'!A:G,4,FALSE)="High",30,IF(VLOOKUP(A82,'Client Master Data'!A:G,4,FALSE)="Medium",20,10))+IF(VLOOKUP(A82,'Client Master Data'!A:G,7,FALSE)="Yes",40,0)+IF(C82="Yes",10,0)</f>
        <v>70</v>
      </c>
      <c r="F82" t="str">
        <f t="shared" si="1"/>
        <v>Medium</v>
      </c>
    </row>
    <row r="83" spans="1:6">
      <c r="A83">
        <v>1082</v>
      </c>
      <c r="B83" t="s">
        <v>1775</v>
      </c>
      <c r="C83" t="s">
        <v>14</v>
      </c>
      <c r="D83" t="s">
        <v>921</v>
      </c>
      <c r="E83">
        <f>IF(VLOOKUP(A83,'Client Master Data'!A:G,4,FALSE)="High",30,IF(VLOOKUP(A83,'Client Master Data'!A:G,4,FALSE)="Medium",20,10))+IF(VLOOKUP(A83,'Client Master Data'!A:G,7,FALSE)="Yes",40,0)+IF(C83="Yes",10,0)</f>
        <v>30</v>
      </c>
      <c r="F83" t="str">
        <f t="shared" si="1"/>
        <v>Low</v>
      </c>
    </row>
    <row r="84" spans="1:6">
      <c r="A84">
        <v>1083</v>
      </c>
      <c r="B84" t="s">
        <v>1776</v>
      </c>
      <c r="C84" t="s">
        <v>20</v>
      </c>
      <c r="D84" t="s">
        <v>826</v>
      </c>
      <c r="E84">
        <f>IF(VLOOKUP(A84,'Client Master Data'!A:G,4,FALSE)="High",30,IF(VLOOKUP(A84,'Client Master Data'!A:G,4,FALSE)="Medium",20,10))+IF(VLOOKUP(A84,'Client Master Data'!A:G,7,FALSE)="Yes",40,0)+IF(C84="Yes",10,0)</f>
        <v>60</v>
      </c>
      <c r="F84" t="str">
        <f t="shared" si="1"/>
        <v>Medium</v>
      </c>
    </row>
    <row r="85" spans="1:6">
      <c r="A85">
        <v>1084</v>
      </c>
      <c r="B85" t="s">
        <v>1777</v>
      </c>
      <c r="C85" t="s">
        <v>14</v>
      </c>
      <c r="D85" t="s">
        <v>987</v>
      </c>
      <c r="E85">
        <f>IF(VLOOKUP(A85,'Client Master Data'!A:G,4,FALSE)="High",30,IF(VLOOKUP(A85,'Client Master Data'!A:G,4,FALSE)="Medium",20,10))+IF(VLOOKUP(A85,'Client Master Data'!A:G,7,FALSE)="Yes",40,0)+IF(C85="Yes",10,0)</f>
        <v>20</v>
      </c>
      <c r="F85" t="str">
        <f t="shared" si="1"/>
        <v>Low</v>
      </c>
    </row>
    <row r="86" spans="1:6">
      <c r="A86">
        <v>1085</v>
      </c>
      <c r="B86" t="s">
        <v>1775</v>
      </c>
      <c r="C86" t="s">
        <v>14</v>
      </c>
      <c r="D86" t="s">
        <v>767</v>
      </c>
      <c r="E86">
        <f>IF(VLOOKUP(A86,'Client Master Data'!A:G,4,FALSE)="High",30,IF(VLOOKUP(A86,'Client Master Data'!A:G,4,FALSE)="Medium",20,10))+IF(VLOOKUP(A86,'Client Master Data'!A:G,7,FALSE)="Yes",40,0)+IF(C86="Yes",10,0)</f>
        <v>10</v>
      </c>
      <c r="F86" t="str">
        <f t="shared" si="1"/>
        <v>Low</v>
      </c>
    </row>
    <row r="87" spans="1:6">
      <c r="A87">
        <v>1086</v>
      </c>
      <c r="B87" t="s">
        <v>1776</v>
      </c>
      <c r="C87" t="s">
        <v>14</v>
      </c>
      <c r="D87" t="s">
        <v>616</v>
      </c>
      <c r="E87">
        <f>IF(VLOOKUP(A87,'Client Master Data'!A:G,4,FALSE)="High",30,IF(VLOOKUP(A87,'Client Master Data'!A:G,4,FALSE)="Medium",20,10))+IF(VLOOKUP(A87,'Client Master Data'!A:G,7,FALSE)="Yes",40,0)+IF(C87="Yes",10,0)</f>
        <v>10</v>
      </c>
      <c r="F87" t="str">
        <f t="shared" si="1"/>
        <v>Low</v>
      </c>
    </row>
    <row r="88" spans="1:6">
      <c r="A88">
        <v>1087</v>
      </c>
      <c r="B88" t="s">
        <v>1776</v>
      </c>
      <c r="C88" t="s">
        <v>20</v>
      </c>
      <c r="D88" t="s">
        <v>629</v>
      </c>
      <c r="E88">
        <f>IF(VLOOKUP(A88,'Client Master Data'!A:G,4,FALSE)="High",30,IF(VLOOKUP(A88,'Client Master Data'!A:G,4,FALSE)="Medium",20,10))+IF(VLOOKUP(A88,'Client Master Data'!A:G,7,FALSE)="Yes",40,0)+IF(C88="Yes",10,0)</f>
        <v>20</v>
      </c>
      <c r="F88" t="str">
        <f t="shared" si="1"/>
        <v>Low</v>
      </c>
    </row>
    <row r="89" spans="1:6">
      <c r="A89">
        <v>1088</v>
      </c>
      <c r="B89" t="s">
        <v>1775</v>
      </c>
      <c r="C89" t="s">
        <v>14</v>
      </c>
      <c r="D89" t="s">
        <v>1103</v>
      </c>
      <c r="E89">
        <f>IF(VLOOKUP(A89,'Client Master Data'!A:G,4,FALSE)="High",30,IF(VLOOKUP(A89,'Client Master Data'!A:G,4,FALSE)="Medium",20,10))+IF(VLOOKUP(A89,'Client Master Data'!A:G,7,FALSE)="Yes",40,0)+IF(C89="Yes",10,0)</f>
        <v>20</v>
      </c>
      <c r="F89" t="str">
        <f t="shared" si="1"/>
        <v>Low</v>
      </c>
    </row>
    <row r="90" spans="1:6">
      <c r="A90">
        <v>1089</v>
      </c>
      <c r="B90" t="s">
        <v>1776</v>
      </c>
      <c r="C90" t="s">
        <v>20</v>
      </c>
      <c r="D90" t="s">
        <v>849</v>
      </c>
      <c r="E90">
        <f>IF(VLOOKUP(A90,'Client Master Data'!A:G,4,FALSE)="High",30,IF(VLOOKUP(A90,'Client Master Data'!A:G,4,FALSE)="Medium",20,10))+IF(VLOOKUP(A90,'Client Master Data'!A:G,7,FALSE)="Yes",40,0)+IF(C90="Yes",10,0)</f>
        <v>60</v>
      </c>
      <c r="F90" t="str">
        <f t="shared" si="1"/>
        <v>Medium</v>
      </c>
    </row>
    <row r="91" spans="1:6">
      <c r="A91">
        <v>1090</v>
      </c>
      <c r="B91" t="s">
        <v>1776</v>
      </c>
      <c r="C91" t="s">
        <v>14</v>
      </c>
      <c r="D91" t="s">
        <v>939</v>
      </c>
      <c r="E91">
        <f>IF(VLOOKUP(A91,'Client Master Data'!A:G,4,FALSE)="High",30,IF(VLOOKUP(A91,'Client Master Data'!A:G,4,FALSE)="Medium",20,10))+IF(VLOOKUP(A91,'Client Master Data'!A:G,7,FALSE)="Yes",40,0)+IF(C91="Yes",10,0)</f>
        <v>60</v>
      </c>
      <c r="F91" t="str">
        <f t="shared" si="1"/>
        <v>Medium</v>
      </c>
    </row>
    <row r="92" spans="1:6">
      <c r="A92">
        <v>1091</v>
      </c>
      <c r="B92" t="s">
        <v>1776</v>
      </c>
      <c r="C92" t="s">
        <v>20</v>
      </c>
      <c r="D92" t="s">
        <v>888</v>
      </c>
      <c r="E92">
        <f>IF(VLOOKUP(A92,'Client Master Data'!A:G,4,FALSE)="High",30,IF(VLOOKUP(A92,'Client Master Data'!A:G,4,FALSE)="Medium",20,10))+IF(VLOOKUP(A92,'Client Master Data'!A:G,7,FALSE)="Yes",40,0)+IF(C92="Yes",10,0)</f>
        <v>60</v>
      </c>
      <c r="F92" t="str">
        <f t="shared" si="1"/>
        <v>Medium</v>
      </c>
    </row>
    <row r="93" spans="1:6">
      <c r="A93">
        <v>1092</v>
      </c>
      <c r="B93" t="s">
        <v>1776</v>
      </c>
      <c r="C93" t="s">
        <v>20</v>
      </c>
      <c r="D93" t="s">
        <v>1133</v>
      </c>
      <c r="E93">
        <f>IF(VLOOKUP(A93,'Client Master Data'!A:G,4,FALSE)="High",30,IF(VLOOKUP(A93,'Client Master Data'!A:G,4,FALSE)="Medium",20,10))+IF(VLOOKUP(A93,'Client Master Data'!A:G,7,FALSE)="Yes",40,0)+IF(C93="Yes",10,0)</f>
        <v>60</v>
      </c>
      <c r="F93" t="str">
        <f t="shared" si="1"/>
        <v>Medium</v>
      </c>
    </row>
    <row r="94" spans="1:6">
      <c r="A94">
        <v>1093</v>
      </c>
      <c r="B94" t="s">
        <v>1776</v>
      </c>
      <c r="C94" t="s">
        <v>20</v>
      </c>
      <c r="D94" t="s">
        <v>696</v>
      </c>
      <c r="E94">
        <f>IF(VLOOKUP(A94,'Client Master Data'!A:G,4,FALSE)="High",30,IF(VLOOKUP(A94,'Client Master Data'!A:G,4,FALSE)="Medium",20,10))+IF(VLOOKUP(A94,'Client Master Data'!A:G,7,FALSE)="Yes",40,0)+IF(C94="Yes",10,0)</f>
        <v>70</v>
      </c>
      <c r="F94" t="str">
        <f t="shared" si="1"/>
        <v>Medium</v>
      </c>
    </row>
    <row r="95" spans="1:6">
      <c r="A95">
        <v>1094</v>
      </c>
      <c r="B95" t="s">
        <v>1776</v>
      </c>
      <c r="C95" t="s">
        <v>14</v>
      </c>
      <c r="D95" t="s">
        <v>627</v>
      </c>
      <c r="E95">
        <f>IF(VLOOKUP(A95,'Client Master Data'!A:G,4,FALSE)="High",30,IF(VLOOKUP(A95,'Client Master Data'!A:G,4,FALSE)="Medium",20,10))+IF(VLOOKUP(A95,'Client Master Data'!A:G,7,FALSE)="Yes",40,0)+IF(C95="Yes",10,0)</f>
        <v>70</v>
      </c>
      <c r="F95" t="str">
        <f t="shared" si="1"/>
        <v>Medium</v>
      </c>
    </row>
    <row r="96" spans="1:6">
      <c r="A96">
        <v>1095</v>
      </c>
      <c r="B96" t="s">
        <v>1775</v>
      </c>
      <c r="C96" t="s">
        <v>14</v>
      </c>
      <c r="D96" t="s">
        <v>924</v>
      </c>
      <c r="E96">
        <f>IF(VLOOKUP(A96,'Client Master Data'!A:G,4,FALSE)="High",30,IF(VLOOKUP(A96,'Client Master Data'!A:G,4,FALSE)="Medium",20,10))+IF(VLOOKUP(A96,'Client Master Data'!A:G,7,FALSE)="Yes",40,0)+IF(C96="Yes",10,0)</f>
        <v>20</v>
      </c>
      <c r="F96" t="str">
        <f t="shared" si="1"/>
        <v>Low</v>
      </c>
    </row>
    <row r="97" spans="1:6">
      <c r="A97">
        <v>1096</v>
      </c>
      <c r="B97" t="s">
        <v>1775</v>
      </c>
      <c r="C97" t="s">
        <v>20</v>
      </c>
      <c r="D97" t="s">
        <v>644</v>
      </c>
      <c r="E97">
        <f>IF(VLOOKUP(A97,'Client Master Data'!A:G,4,FALSE)="High",30,IF(VLOOKUP(A97,'Client Master Data'!A:G,4,FALSE)="Medium",20,10))+IF(VLOOKUP(A97,'Client Master Data'!A:G,7,FALSE)="Yes",40,0)+IF(C97="Yes",10,0)</f>
        <v>40</v>
      </c>
      <c r="F97" t="str">
        <f t="shared" si="1"/>
        <v>Medium</v>
      </c>
    </row>
    <row r="98" spans="1:6">
      <c r="A98">
        <v>1097</v>
      </c>
      <c r="B98" t="s">
        <v>1776</v>
      </c>
      <c r="C98" t="s">
        <v>14</v>
      </c>
      <c r="D98" t="s">
        <v>1115</v>
      </c>
      <c r="E98">
        <f>IF(VLOOKUP(A98,'Client Master Data'!A:G,4,FALSE)="High",30,IF(VLOOKUP(A98,'Client Master Data'!A:G,4,FALSE)="Medium",20,10))+IF(VLOOKUP(A98,'Client Master Data'!A:G,7,FALSE)="Yes",40,0)+IF(C98="Yes",10,0)</f>
        <v>10</v>
      </c>
      <c r="F98" t="str">
        <f t="shared" si="1"/>
        <v>Low</v>
      </c>
    </row>
    <row r="99" spans="1:6">
      <c r="A99">
        <v>1098</v>
      </c>
      <c r="B99" t="s">
        <v>1775</v>
      </c>
      <c r="C99" t="s">
        <v>20</v>
      </c>
      <c r="D99" t="s">
        <v>698</v>
      </c>
      <c r="E99">
        <f>IF(VLOOKUP(A99,'Client Master Data'!A:G,4,FALSE)="High",30,IF(VLOOKUP(A99,'Client Master Data'!A:G,4,FALSE)="Medium",20,10))+IF(VLOOKUP(A99,'Client Master Data'!A:G,7,FALSE)="Yes",40,0)+IF(C99="Yes",10,0)</f>
        <v>20</v>
      </c>
      <c r="F99" t="str">
        <f t="shared" si="1"/>
        <v>Low</v>
      </c>
    </row>
    <row r="100" spans="1:6">
      <c r="A100">
        <v>1099</v>
      </c>
      <c r="B100" t="s">
        <v>1775</v>
      </c>
      <c r="C100" t="s">
        <v>20</v>
      </c>
      <c r="D100" t="s">
        <v>1505</v>
      </c>
      <c r="E100">
        <f>IF(VLOOKUP(A100,'Client Master Data'!A:G,4,FALSE)="High",30,IF(VLOOKUP(A100,'Client Master Data'!A:G,4,FALSE)="Medium",20,10))+IF(VLOOKUP(A100,'Client Master Data'!A:G,7,FALSE)="Yes",40,0)+IF(C100="Yes",10,0)</f>
        <v>70</v>
      </c>
      <c r="F100" t="str">
        <f t="shared" si="1"/>
        <v>Medium</v>
      </c>
    </row>
    <row r="101" spans="1:6">
      <c r="A101">
        <v>1100</v>
      </c>
      <c r="B101" t="s">
        <v>1777</v>
      </c>
      <c r="C101" t="s">
        <v>20</v>
      </c>
      <c r="D101" t="s">
        <v>820</v>
      </c>
      <c r="E101">
        <f>IF(VLOOKUP(A101,'Client Master Data'!A:G,4,FALSE)="High",30,IF(VLOOKUP(A101,'Client Master Data'!A:G,4,FALSE)="Medium",20,10))+IF(VLOOKUP(A101,'Client Master Data'!A:G,7,FALSE)="Yes",40,0)+IF(C101="Yes",10,0)</f>
        <v>30</v>
      </c>
      <c r="F101" t="str">
        <f t="shared" si="1"/>
        <v>Low</v>
      </c>
    </row>
    <row r="102" spans="1:6">
      <c r="A102">
        <v>1101</v>
      </c>
      <c r="B102" t="s">
        <v>1776</v>
      </c>
      <c r="C102" t="s">
        <v>14</v>
      </c>
      <c r="D102" t="s">
        <v>656</v>
      </c>
      <c r="E102">
        <f>IF(VLOOKUP(A102,'Client Master Data'!A:G,4,FALSE)="High",30,IF(VLOOKUP(A102,'Client Master Data'!A:G,4,FALSE)="Medium",20,10))+IF(VLOOKUP(A102,'Client Master Data'!A:G,7,FALSE)="Yes",40,0)+IF(C102="Yes",10,0)</f>
        <v>20</v>
      </c>
      <c r="F102" t="str">
        <f t="shared" si="1"/>
        <v>Low</v>
      </c>
    </row>
    <row r="103" spans="1:6">
      <c r="A103">
        <v>1102</v>
      </c>
      <c r="B103" t="s">
        <v>1777</v>
      </c>
      <c r="C103" t="s">
        <v>20</v>
      </c>
      <c r="D103" t="s">
        <v>856</v>
      </c>
      <c r="E103">
        <f>IF(VLOOKUP(A103,'Client Master Data'!A:G,4,FALSE)="High",30,IF(VLOOKUP(A103,'Client Master Data'!A:G,4,FALSE)="Medium",20,10))+IF(VLOOKUP(A103,'Client Master Data'!A:G,7,FALSE)="Yes",40,0)+IF(C103="Yes",10,0)</f>
        <v>40</v>
      </c>
      <c r="F103" t="str">
        <f t="shared" si="1"/>
        <v>Medium</v>
      </c>
    </row>
    <row r="104" spans="1:6">
      <c r="A104">
        <v>1103</v>
      </c>
      <c r="B104" t="s">
        <v>1776</v>
      </c>
      <c r="C104" t="s">
        <v>20</v>
      </c>
      <c r="D104" t="s">
        <v>610</v>
      </c>
      <c r="E104">
        <f>IF(VLOOKUP(A104,'Client Master Data'!A:G,4,FALSE)="High",30,IF(VLOOKUP(A104,'Client Master Data'!A:G,4,FALSE)="Medium",20,10))+IF(VLOOKUP(A104,'Client Master Data'!A:G,7,FALSE)="Yes",40,0)+IF(C104="Yes",10,0)</f>
        <v>80</v>
      </c>
      <c r="F104" t="str">
        <f t="shared" si="1"/>
        <v>High</v>
      </c>
    </row>
    <row r="105" spans="1:6">
      <c r="A105">
        <v>1104</v>
      </c>
      <c r="B105" t="s">
        <v>1777</v>
      </c>
      <c r="C105" t="s">
        <v>20</v>
      </c>
      <c r="D105" t="s">
        <v>1308</v>
      </c>
      <c r="E105">
        <f>IF(VLOOKUP(A105,'Client Master Data'!A:G,4,FALSE)="High",30,IF(VLOOKUP(A105,'Client Master Data'!A:G,4,FALSE)="Medium",20,10))+IF(VLOOKUP(A105,'Client Master Data'!A:G,7,FALSE)="Yes",40,0)+IF(C105="Yes",10,0)</f>
        <v>40</v>
      </c>
      <c r="F105" t="str">
        <f t="shared" si="1"/>
        <v>Medium</v>
      </c>
    </row>
    <row r="106" spans="1:6">
      <c r="A106">
        <v>1105</v>
      </c>
      <c r="B106" t="s">
        <v>1775</v>
      </c>
      <c r="C106" t="s">
        <v>20</v>
      </c>
      <c r="D106" t="s">
        <v>1014</v>
      </c>
      <c r="E106">
        <f>IF(VLOOKUP(A106,'Client Master Data'!A:G,4,FALSE)="High",30,IF(VLOOKUP(A106,'Client Master Data'!A:G,4,FALSE)="Medium",20,10))+IF(VLOOKUP(A106,'Client Master Data'!A:G,7,FALSE)="Yes",40,0)+IF(C106="Yes",10,0)</f>
        <v>80</v>
      </c>
      <c r="F106" t="str">
        <f t="shared" si="1"/>
        <v>High</v>
      </c>
    </row>
    <row r="107" spans="1:6">
      <c r="A107">
        <v>1106</v>
      </c>
      <c r="B107" t="s">
        <v>1777</v>
      </c>
      <c r="C107" t="s">
        <v>20</v>
      </c>
      <c r="D107" t="s">
        <v>614</v>
      </c>
      <c r="E107">
        <f>IF(VLOOKUP(A107,'Client Master Data'!A:G,4,FALSE)="High",30,IF(VLOOKUP(A107,'Client Master Data'!A:G,4,FALSE)="Medium",20,10))+IF(VLOOKUP(A107,'Client Master Data'!A:G,7,FALSE)="Yes",40,0)+IF(C107="Yes",10,0)</f>
        <v>40</v>
      </c>
      <c r="F107" t="str">
        <f t="shared" si="1"/>
        <v>Medium</v>
      </c>
    </row>
    <row r="108" spans="1:6">
      <c r="A108">
        <v>1107</v>
      </c>
      <c r="B108" t="s">
        <v>1777</v>
      </c>
      <c r="C108" t="s">
        <v>14</v>
      </c>
      <c r="D108" t="s">
        <v>745</v>
      </c>
      <c r="E108">
        <f>IF(VLOOKUP(A108,'Client Master Data'!A:G,4,FALSE)="High",30,IF(VLOOKUP(A108,'Client Master Data'!A:G,4,FALSE)="Medium",20,10))+IF(VLOOKUP(A108,'Client Master Data'!A:G,7,FALSE)="Yes",40,0)+IF(C108="Yes",10,0)</f>
        <v>50</v>
      </c>
      <c r="F108" t="str">
        <f t="shared" si="1"/>
        <v>Medium</v>
      </c>
    </row>
    <row r="109" spans="1:6">
      <c r="A109">
        <v>1108</v>
      </c>
      <c r="B109" t="s">
        <v>1775</v>
      </c>
      <c r="C109" t="s">
        <v>20</v>
      </c>
      <c r="D109" t="s">
        <v>876</v>
      </c>
      <c r="E109">
        <f>IF(VLOOKUP(A109,'Client Master Data'!A:G,4,FALSE)="High",30,IF(VLOOKUP(A109,'Client Master Data'!A:G,4,FALSE)="Medium",20,10))+IF(VLOOKUP(A109,'Client Master Data'!A:G,7,FALSE)="Yes",40,0)+IF(C109="Yes",10,0)</f>
        <v>40</v>
      </c>
      <c r="F109" t="str">
        <f t="shared" si="1"/>
        <v>Medium</v>
      </c>
    </row>
    <row r="110" spans="1:6">
      <c r="A110">
        <v>1109</v>
      </c>
      <c r="B110" t="s">
        <v>1777</v>
      </c>
      <c r="C110" t="s">
        <v>14</v>
      </c>
      <c r="D110" t="s">
        <v>592</v>
      </c>
      <c r="E110">
        <f>IF(VLOOKUP(A110,'Client Master Data'!A:G,4,FALSE)="High",30,IF(VLOOKUP(A110,'Client Master Data'!A:G,4,FALSE)="Medium",20,10))+IF(VLOOKUP(A110,'Client Master Data'!A:G,7,FALSE)="Yes",40,0)+IF(C110="Yes",10,0)</f>
        <v>50</v>
      </c>
      <c r="F110" t="str">
        <f t="shared" si="1"/>
        <v>Medium</v>
      </c>
    </row>
    <row r="111" spans="1:6">
      <c r="A111">
        <v>1110</v>
      </c>
      <c r="B111" t="s">
        <v>1776</v>
      </c>
      <c r="C111" t="s">
        <v>20</v>
      </c>
      <c r="D111" t="s">
        <v>953</v>
      </c>
      <c r="E111">
        <f>IF(VLOOKUP(A111,'Client Master Data'!A:G,4,FALSE)="High",30,IF(VLOOKUP(A111,'Client Master Data'!A:G,4,FALSE)="Medium",20,10))+IF(VLOOKUP(A111,'Client Master Data'!A:G,7,FALSE)="Yes",40,0)+IF(C111="Yes",10,0)</f>
        <v>20</v>
      </c>
      <c r="F111" t="str">
        <f t="shared" si="1"/>
        <v>Low</v>
      </c>
    </row>
    <row r="112" spans="1:6">
      <c r="A112">
        <v>1111</v>
      </c>
      <c r="B112" t="s">
        <v>1775</v>
      </c>
      <c r="C112" t="s">
        <v>14</v>
      </c>
      <c r="D112" t="s">
        <v>751</v>
      </c>
      <c r="E112">
        <f>IF(VLOOKUP(A112,'Client Master Data'!A:G,4,FALSE)="High",30,IF(VLOOKUP(A112,'Client Master Data'!A:G,4,FALSE)="Medium",20,10))+IF(VLOOKUP(A112,'Client Master Data'!A:G,7,FALSE)="Yes",40,0)+IF(C112="Yes",10,0)</f>
        <v>30</v>
      </c>
      <c r="F112" t="str">
        <f t="shared" si="1"/>
        <v>Low</v>
      </c>
    </row>
    <row r="113" spans="1:6">
      <c r="A113">
        <v>1112</v>
      </c>
      <c r="B113" t="s">
        <v>1776</v>
      </c>
      <c r="C113" t="s">
        <v>20</v>
      </c>
      <c r="D113" t="s">
        <v>1507</v>
      </c>
      <c r="E113">
        <f>IF(VLOOKUP(A113,'Client Master Data'!A:G,4,FALSE)="High",30,IF(VLOOKUP(A113,'Client Master Data'!A:G,4,FALSE)="Medium",20,10))+IF(VLOOKUP(A113,'Client Master Data'!A:G,7,FALSE)="Yes",40,0)+IF(C113="Yes",10,0)</f>
        <v>20</v>
      </c>
      <c r="F113" t="str">
        <f t="shared" si="1"/>
        <v>Low</v>
      </c>
    </row>
    <row r="114" spans="1:6">
      <c r="A114">
        <v>1113</v>
      </c>
      <c r="B114" t="s">
        <v>1777</v>
      </c>
      <c r="C114" t="s">
        <v>20</v>
      </c>
      <c r="D114" t="s">
        <v>1657</v>
      </c>
      <c r="E114">
        <f>IF(VLOOKUP(A114,'Client Master Data'!A:G,4,FALSE)="High",30,IF(VLOOKUP(A114,'Client Master Data'!A:G,4,FALSE)="Medium",20,10))+IF(VLOOKUP(A114,'Client Master Data'!A:G,7,FALSE)="Yes",40,0)+IF(C114="Yes",10,0)</f>
        <v>70</v>
      </c>
      <c r="F114" t="str">
        <f t="shared" si="1"/>
        <v>Medium</v>
      </c>
    </row>
    <row r="115" spans="1:6">
      <c r="A115">
        <v>1114</v>
      </c>
      <c r="B115" t="s">
        <v>1775</v>
      </c>
      <c r="C115" t="s">
        <v>14</v>
      </c>
      <c r="D115" t="s">
        <v>948</v>
      </c>
      <c r="E115">
        <f>IF(VLOOKUP(A115,'Client Master Data'!A:G,4,FALSE)="High",30,IF(VLOOKUP(A115,'Client Master Data'!A:G,4,FALSE)="Medium",20,10))+IF(VLOOKUP(A115,'Client Master Data'!A:G,7,FALSE)="Yes",40,0)+IF(C115="Yes",10,0)</f>
        <v>50</v>
      </c>
      <c r="F115" t="str">
        <f t="shared" si="1"/>
        <v>Medium</v>
      </c>
    </row>
    <row r="116" spans="1:6">
      <c r="A116">
        <v>1115</v>
      </c>
      <c r="B116" t="s">
        <v>1776</v>
      </c>
      <c r="C116" t="s">
        <v>20</v>
      </c>
      <c r="D116" t="s">
        <v>1056</v>
      </c>
      <c r="E116">
        <f>IF(VLOOKUP(A116,'Client Master Data'!A:G,4,FALSE)="High",30,IF(VLOOKUP(A116,'Client Master Data'!A:G,4,FALSE)="Medium",20,10))+IF(VLOOKUP(A116,'Client Master Data'!A:G,7,FALSE)="Yes",40,0)+IF(C116="Yes",10,0)</f>
        <v>20</v>
      </c>
      <c r="F116" t="str">
        <f t="shared" si="1"/>
        <v>Low</v>
      </c>
    </row>
    <row r="117" spans="1:6">
      <c r="A117">
        <v>1116</v>
      </c>
      <c r="B117" t="s">
        <v>1776</v>
      </c>
      <c r="C117" t="s">
        <v>20</v>
      </c>
      <c r="D117" t="s">
        <v>687</v>
      </c>
      <c r="E117">
        <f>IF(VLOOKUP(A117,'Client Master Data'!A:G,4,FALSE)="High",30,IF(VLOOKUP(A117,'Client Master Data'!A:G,4,FALSE)="Medium",20,10))+IF(VLOOKUP(A117,'Client Master Data'!A:G,7,FALSE)="Yes",40,0)+IF(C117="Yes",10,0)</f>
        <v>30</v>
      </c>
      <c r="F117" t="str">
        <f t="shared" si="1"/>
        <v>Low</v>
      </c>
    </row>
    <row r="118" spans="1:6">
      <c r="A118">
        <v>1117</v>
      </c>
      <c r="B118" t="s">
        <v>1777</v>
      </c>
      <c r="C118" t="s">
        <v>20</v>
      </c>
      <c r="D118" t="s">
        <v>1115</v>
      </c>
      <c r="E118">
        <f>IF(VLOOKUP(A118,'Client Master Data'!A:G,4,FALSE)="High",30,IF(VLOOKUP(A118,'Client Master Data'!A:G,4,FALSE)="Medium",20,10))+IF(VLOOKUP(A118,'Client Master Data'!A:G,7,FALSE)="Yes",40,0)+IF(C118="Yes",10,0)</f>
        <v>60</v>
      </c>
      <c r="F118" t="str">
        <f t="shared" si="1"/>
        <v>Medium</v>
      </c>
    </row>
    <row r="119" spans="1:6">
      <c r="A119">
        <v>1118</v>
      </c>
      <c r="B119" t="s">
        <v>1775</v>
      </c>
      <c r="C119" t="s">
        <v>20</v>
      </c>
      <c r="D119" t="s">
        <v>1028</v>
      </c>
      <c r="E119">
        <f>IF(VLOOKUP(A119,'Client Master Data'!A:G,4,FALSE)="High",30,IF(VLOOKUP(A119,'Client Master Data'!A:G,4,FALSE)="Medium",20,10))+IF(VLOOKUP(A119,'Client Master Data'!A:G,7,FALSE)="Yes",40,0)+IF(C119="Yes",10,0)</f>
        <v>20</v>
      </c>
      <c r="F119" t="str">
        <f t="shared" si="1"/>
        <v>Low</v>
      </c>
    </row>
    <row r="120" spans="1:6">
      <c r="A120">
        <v>1119</v>
      </c>
      <c r="B120" t="s">
        <v>1775</v>
      </c>
      <c r="C120" t="s">
        <v>14</v>
      </c>
      <c r="D120" t="s">
        <v>707</v>
      </c>
      <c r="E120">
        <f>IF(VLOOKUP(A120,'Client Master Data'!A:G,4,FALSE)="High",30,IF(VLOOKUP(A120,'Client Master Data'!A:G,4,FALSE)="Medium",20,10))+IF(VLOOKUP(A120,'Client Master Data'!A:G,7,FALSE)="Yes",40,0)+IF(C120="Yes",10,0)</f>
        <v>50</v>
      </c>
      <c r="F120" t="str">
        <f t="shared" si="1"/>
        <v>Medium</v>
      </c>
    </row>
    <row r="121" spans="1:6">
      <c r="A121">
        <v>1120</v>
      </c>
      <c r="B121" t="s">
        <v>1777</v>
      </c>
      <c r="C121" t="s">
        <v>14</v>
      </c>
      <c r="D121" t="s">
        <v>984</v>
      </c>
      <c r="E121">
        <f>IF(VLOOKUP(A121,'Client Master Data'!A:G,4,FALSE)="High",30,IF(VLOOKUP(A121,'Client Master Data'!A:G,4,FALSE)="Medium",20,10))+IF(VLOOKUP(A121,'Client Master Data'!A:G,7,FALSE)="Yes",40,0)+IF(C121="Yes",10,0)</f>
        <v>70</v>
      </c>
      <c r="F121" t="str">
        <f t="shared" si="1"/>
        <v>Medium</v>
      </c>
    </row>
    <row r="122" spans="1:6">
      <c r="A122">
        <v>1121</v>
      </c>
      <c r="B122" t="s">
        <v>1777</v>
      </c>
      <c r="C122" t="s">
        <v>14</v>
      </c>
      <c r="D122" t="s">
        <v>698</v>
      </c>
      <c r="E122">
        <f>IF(VLOOKUP(A122,'Client Master Data'!A:G,4,FALSE)="High",30,IF(VLOOKUP(A122,'Client Master Data'!A:G,4,FALSE)="Medium",20,10))+IF(VLOOKUP(A122,'Client Master Data'!A:G,7,FALSE)="Yes",40,0)+IF(C122="Yes",10,0)</f>
        <v>50</v>
      </c>
      <c r="F122" t="str">
        <f t="shared" si="1"/>
        <v>Medium</v>
      </c>
    </row>
    <row r="123" spans="1:6">
      <c r="A123">
        <v>1122</v>
      </c>
      <c r="B123" t="s">
        <v>1776</v>
      </c>
      <c r="C123" t="s">
        <v>20</v>
      </c>
      <c r="D123" t="s">
        <v>663</v>
      </c>
      <c r="E123">
        <f>IF(VLOOKUP(A123,'Client Master Data'!A:G,4,FALSE)="High",30,IF(VLOOKUP(A123,'Client Master Data'!A:G,4,FALSE)="Medium",20,10))+IF(VLOOKUP(A123,'Client Master Data'!A:G,7,FALSE)="Yes",40,0)+IF(C123="Yes",10,0)</f>
        <v>60</v>
      </c>
      <c r="F123" t="str">
        <f t="shared" si="1"/>
        <v>Medium</v>
      </c>
    </row>
    <row r="124" spans="1:6">
      <c r="A124">
        <v>1123</v>
      </c>
      <c r="B124" t="s">
        <v>1777</v>
      </c>
      <c r="C124" t="s">
        <v>14</v>
      </c>
      <c r="D124" t="s">
        <v>618</v>
      </c>
      <c r="E124">
        <f>IF(VLOOKUP(A124,'Client Master Data'!A:G,4,FALSE)="High",30,IF(VLOOKUP(A124,'Client Master Data'!A:G,4,FALSE)="Medium",20,10))+IF(VLOOKUP(A124,'Client Master Data'!A:G,7,FALSE)="Yes",40,0)+IF(C124="Yes",10,0)</f>
        <v>10</v>
      </c>
      <c r="F124" t="str">
        <f t="shared" si="1"/>
        <v>Low</v>
      </c>
    </row>
    <row r="125" spans="1:6">
      <c r="A125">
        <v>1124</v>
      </c>
      <c r="B125" t="s">
        <v>1777</v>
      </c>
      <c r="C125" t="s">
        <v>20</v>
      </c>
      <c r="D125" t="s">
        <v>984</v>
      </c>
      <c r="E125">
        <f>IF(VLOOKUP(A125,'Client Master Data'!A:G,4,FALSE)="High",30,IF(VLOOKUP(A125,'Client Master Data'!A:G,4,FALSE)="Medium",20,10))+IF(VLOOKUP(A125,'Client Master Data'!A:G,7,FALSE)="Yes",40,0)+IF(C125="Yes",10,0)</f>
        <v>20</v>
      </c>
      <c r="F125" t="str">
        <f t="shared" si="1"/>
        <v>Low</v>
      </c>
    </row>
    <row r="126" spans="1:6">
      <c r="A126">
        <v>1125</v>
      </c>
      <c r="B126" t="s">
        <v>1777</v>
      </c>
      <c r="C126" t="s">
        <v>14</v>
      </c>
      <c r="D126" t="s">
        <v>646</v>
      </c>
      <c r="E126">
        <f>IF(VLOOKUP(A126,'Client Master Data'!A:G,4,FALSE)="High",30,IF(VLOOKUP(A126,'Client Master Data'!A:G,4,FALSE)="Medium",20,10))+IF(VLOOKUP(A126,'Client Master Data'!A:G,7,FALSE)="Yes",40,0)+IF(C126="Yes",10,0)</f>
        <v>10</v>
      </c>
      <c r="F126" t="str">
        <f t="shared" si="1"/>
        <v>Low</v>
      </c>
    </row>
    <row r="127" spans="1:6">
      <c r="A127">
        <v>1126</v>
      </c>
      <c r="B127" t="s">
        <v>1775</v>
      </c>
      <c r="C127" t="s">
        <v>14</v>
      </c>
      <c r="D127" t="s">
        <v>1033</v>
      </c>
      <c r="E127">
        <f>IF(VLOOKUP(A127,'Client Master Data'!A:G,4,FALSE)="High",30,IF(VLOOKUP(A127,'Client Master Data'!A:G,4,FALSE)="Medium",20,10))+IF(VLOOKUP(A127,'Client Master Data'!A:G,7,FALSE)="Yes",40,0)+IF(C127="Yes",10,0)</f>
        <v>30</v>
      </c>
      <c r="F127" t="str">
        <f t="shared" si="1"/>
        <v>Low</v>
      </c>
    </row>
    <row r="128" spans="1:6">
      <c r="A128">
        <v>1127</v>
      </c>
      <c r="B128" t="s">
        <v>1776</v>
      </c>
      <c r="C128" t="s">
        <v>20</v>
      </c>
      <c r="D128" t="s">
        <v>682</v>
      </c>
      <c r="E128">
        <f>IF(VLOOKUP(A128,'Client Master Data'!A:G,4,FALSE)="High",30,IF(VLOOKUP(A128,'Client Master Data'!A:G,4,FALSE)="Medium",20,10))+IF(VLOOKUP(A128,'Client Master Data'!A:G,7,FALSE)="Yes",40,0)+IF(C128="Yes",10,0)</f>
        <v>20</v>
      </c>
      <c r="F128" t="str">
        <f t="shared" si="1"/>
        <v>Low</v>
      </c>
    </row>
    <row r="129" spans="1:6">
      <c r="A129">
        <v>1128</v>
      </c>
      <c r="B129" t="s">
        <v>1775</v>
      </c>
      <c r="C129" t="s">
        <v>14</v>
      </c>
      <c r="D129" t="s">
        <v>599</v>
      </c>
      <c r="E129">
        <f>IF(VLOOKUP(A129,'Client Master Data'!A:G,4,FALSE)="High",30,IF(VLOOKUP(A129,'Client Master Data'!A:G,4,FALSE)="Medium",20,10))+IF(VLOOKUP(A129,'Client Master Data'!A:G,7,FALSE)="Yes",40,0)+IF(C129="Yes",10,0)</f>
        <v>50</v>
      </c>
      <c r="F129" t="str">
        <f t="shared" si="1"/>
        <v>Medium</v>
      </c>
    </row>
    <row r="130" spans="1:6">
      <c r="A130">
        <v>1129</v>
      </c>
      <c r="B130" t="s">
        <v>1777</v>
      </c>
      <c r="C130" t="s">
        <v>14</v>
      </c>
      <c r="D130" t="s">
        <v>849</v>
      </c>
      <c r="E130">
        <f>IF(VLOOKUP(A130,'Client Master Data'!A:G,4,FALSE)="High",30,IF(VLOOKUP(A130,'Client Master Data'!A:G,4,FALSE)="Medium",20,10))+IF(VLOOKUP(A130,'Client Master Data'!A:G,7,FALSE)="Yes",40,0)+IF(C130="Yes",10,0)</f>
        <v>10</v>
      </c>
      <c r="F130" t="str">
        <f t="shared" ref="F130:F193" si="2">IF(E130&lt;=30,"Low",IF(E130&lt;=70,"Medium","High"))</f>
        <v>Low</v>
      </c>
    </row>
    <row r="131" spans="1:6">
      <c r="A131">
        <v>1130</v>
      </c>
      <c r="B131" t="s">
        <v>1777</v>
      </c>
      <c r="C131" t="s">
        <v>14</v>
      </c>
      <c r="D131" t="s">
        <v>1103</v>
      </c>
      <c r="E131">
        <f>IF(VLOOKUP(A131,'Client Master Data'!A:G,4,FALSE)="High",30,IF(VLOOKUP(A131,'Client Master Data'!A:G,4,FALSE)="Medium",20,10))+IF(VLOOKUP(A131,'Client Master Data'!A:G,7,FALSE)="Yes",40,0)+IF(C131="Yes",10,0)</f>
        <v>10</v>
      </c>
      <c r="F131" t="str">
        <f t="shared" si="2"/>
        <v>Low</v>
      </c>
    </row>
    <row r="132" spans="1:6">
      <c r="A132">
        <v>1131</v>
      </c>
      <c r="B132" t="s">
        <v>1775</v>
      </c>
      <c r="C132" t="s">
        <v>14</v>
      </c>
      <c r="D132" t="s">
        <v>690</v>
      </c>
      <c r="E132">
        <f>IF(VLOOKUP(A132,'Client Master Data'!A:G,4,FALSE)="High",30,IF(VLOOKUP(A132,'Client Master Data'!A:G,4,FALSE)="Medium",20,10))+IF(VLOOKUP(A132,'Client Master Data'!A:G,7,FALSE)="Yes",40,0)+IF(C132="Yes",10,0)</f>
        <v>50</v>
      </c>
      <c r="F132" t="str">
        <f t="shared" si="2"/>
        <v>Medium</v>
      </c>
    </row>
    <row r="133" spans="1:6">
      <c r="A133">
        <v>1132</v>
      </c>
      <c r="B133" t="s">
        <v>1777</v>
      </c>
      <c r="C133" t="s">
        <v>14</v>
      </c>
      <c r="D133" t="s">
        <v>618</v>
      </c>
      <c r="E133">
        <f>IF(VLOOKUP(A133,'Client Master Data'!A:G,4,FALSE)="High",30,IF(VLOOKUP(A133,'Client Master Data'!A:G,4,FALSE)="Medium",20,10))+IF(VLOOKUP(A133,'Client Master Data'!A:G,7,FALSE)="Yes",40,0)+IF(C133="Yes",10,0)</f>
        <v>50</v>
      </c>
      <c r="F133" t="str">
        <f t="shared" si="2"/>
        <v>Medium</v>
      </c>
    </row>
    <row r="134" spans="1:6">
      <c r="A134">
        <v>1133</v>
      </c>
      <c r="B134" t="s">
        <v>1775</v>
      </c>
      <c r="C134" t="s">
        <v>14</v>
      </c>
      <c r="D134" t="s">
        <v>756</v>
      </c>
      <c r="E134">
        <f>IF(VLOOKUP(A134,'Client Master Data'!A:G,4,FALSE)="High",30,IF(VLOOKUP(A134,'Client Master Data'!A:G,4,FALSE)="Medium",20,10))+IF(VLOOKUP(A134,'Client Master Data'!A:G,7,FALSE)="Yes",40,0)+IF(C134="Yes",10,0)</f>
        <v>70</v>
      </c>
      <c r="F134" t="str">
        <f t="shared" si="2"/>
        <v>Medium</v>
      </c>
    </row>
    <row r="135" spans="1:6">
      <c r="A135">
        <v>1134</v>
      </c>
      <c r="B135" t="s">
        <v>1776</v>
      </c>
      <c r="C135" t="s">
        <v>20</v>
      </c>
      <c r="D135" t="s">
        <v>895</v>
      </c>
      <c r="E135">
        <f>IF(VLOOKUP(A135,'Client Master Data'!A:G,4,FALSE)="High",30,IF(VLOOKUP(A135,'Client Master Data'!A:G,4,FALSE)="Medium",20,10))+IF(VLOOKUP(A135,'Client Master Data'!A:G,7,FALSE)="Yes",40,0)+IF(C135="Yes",10,0)</f>
        <v>80</v>
      </c>
      <c r="F135" t="str">
        <f t="shared" si="2"/>
        <v>High</v>
      </c>
    </row>
    <row r="136" spans="1:6">
      <c r="A136">
        <v>1135</v>
      </c>
      <c r="B136" t="s">
        <v>1775</v>
      </c>
      <c r="C136" t="s">
        <v>14</v>
      </c>
      <c r="D136" t="s">
        <v>604</v>
      </c>
      <c r="E136">
        <f>IF(VLOOKUP(A136,'Client Master Data'!A:G,4,FALSE)="High",30,IF(VLOOKUP(A136,'Client Master Data'!A:G,4,FALSE)="Medium",20,10))+IF(VLOOKUP(A136,'Client Master Data'!A:G,7,FALSE)="Yes",40,0)+IF(C136="Yes",10,0)</f>
        <v>70</v>
      </c>
      <c r="F136" t="str">
        <f t="shared" si="2"/>
        <v>Medium</v>
      </c>
    </row>
    <row r="137" spans="1:6">
      <c r="A137">
        <v>1136</v>
      </c>
      <c r="B137" t="s">
        <v>1776</v>
      </c>
      <c r="C137" t="s">
        <v>20</v>
      </c>
      <c r="D137" t="s">
        <v>754</v>
      </c>
      <c r="E137">
        <f>IF(VLOOKUP(A137,'Client Master Data'!A:G,4,FALSE)="High",30,IF(VLOOKUP(A137,'Client Master Data'!A:G,4,FALSE)="Medium",20,10))+IF(VLOOKUP(A137,'Client Master Data'!A:G,7,FALSE)="Yes",40,0)+IF(C137="Yes",10,0)</f>
        <v>20</v>
      </c>
      <c r="F137" t="str">
        <f t="shared" si="2"/>
        <v>Low</v>
      </c>
    </row>
    <row r="138" spans="1:6">
      <c r="A138">
        <v>1137</v>
      </c>
      <c r="B138" t="s">
        <v>1776</v>
      </c>
      <c r="C138" t="s">
        <v>14</v>
      </c>
      <c r="D138" t="s">
        <v>820</v>
      </c>
      <c r="E138">
        <f>IF(VLOOKUP(A138,'Client Master Data'!A:G,4,FALSE)="High",30,IF(VLOOKUP(A138,'Client Master Data'!A:G,4,FALSE)="Medium",20,10))+IF(VLOOKUP(A138,'Client Master Data'!A:G,7,FALSE)="Yes",40,0)+IF(C138="Yes",10,0)</f>
        <v>70</v>
      </c>
      <c r="F138" t="str">
        <f t="shared" si="2"/>
        <v>Medium</v>
      </c>
    </row>
    <row r="139" spans="1:6">
      <c r="A139">
        <v>1138</v>
      </c>
      <c r="B139" t="s">
        <v>1775</v>
      </c>
      <c r="C139" t="s">
        <v>14</v>
      </c>
      <c r="D139" t="s">
        <v>1308</v>
      </c>
      <c r="E139">
        <f>IF(VLOOKUP(A139,'Client Master Data'!A:G,4,FALSE)="High",30,IF(VLOOKUP(A139,'Client Master Data'!A:G,4,FALSE)="Medium",20,10))+IF(VLOOKUP(A139,'Client Master Data'!A:G,7,FALSE)="Yes",40,0)+IF(C139="Yes",10,0)</f>
        <v>10</v>
      </c>
      <c r="F139" t="str">
        <f t="shared" si="2"/>
        <v>Low</v>
      </c>
    </row>
    <row r="140" spans="1:6">
      <c r="A140">
        <v>1139</v>
      </c>
      <c r="B140" t="s">
        <v>1775</v>
      </c>
      <c r="C140" t="s">
        <v>14</v>
      </c>
      <c r="D140" t="s">
        <v>775</v>
      </c>
      <c r="E140">
        <f>IF(VLOOKUP(A140,'Client Master Data'!A:G,4,FALSE)="High",30,IF(VLOOKUP(A140,'Client Master Data'!A:G,4,FALSE)="Medium",20,10))+IF(VLOOKUP(A140,'Client Master Data'!A:G,7,FALSE)="Yes",40,0)+IF(C140="Yes",10,0)</f>
        <v>50</v>
      </c>
      <c r="F140" t="str">
        <f t="shared" si="2"/>
        <v>Medium</v>
      </c>
    </row>
    <row r="141" spans="1:6">
      <c r="A141">
        <v>1140</v>
      </c>
      <c r="B141" t="s">
        <v>1776</v>
      </c>
      <c r="C141" t="s">
        <v>20</v>
      </c>
      <c r="D141" t="s">
        <v>685</v>
      </c>
      <c r="E141">
        <f>IF(VLOOKUP(A141,'Client Master Data'!A:G,4,FALSE)="High",30,IF(VLOOKUP(A141,'Client Master Data'!A:G,4,FALSE)="Medium",20,10))+IF(VLOOKUP(A141,'Client Master Data'!A:G,7,FALSE)="Yes",40,0)+IF(C141="Yes",10,0)</f>
        <v>80</v>
      </c>
      <c r="F141" t="str">
        <f t="shared" si="2"/>
        <v>High</v>
      </c>
    </row>
    <row r="142" spans="1:6">
      <c r="A142">
        <v>1141</v>
      </c>
      <c r="B142" t="s">
        <v>1775</v>
      </c>
      <c r="C142" t="s">
        <v>20</v>
      </c>
      <c r="D142" t="s">
        <v>1033</v>
      </c>
      <c r="E142">
        <f>IF(VLOOKUP(A142,'Client Master Data'!A:G,4,FALSE)="High",30,IF(VLOOKUP(A142,'Client Master Data'!A:G,4,FALSE)="Medium",20,10))+IF(VLOOKUP(A142,'Client Master Data'!A:G,7,FALSE)="Yes",40,0)+IF(C142="Yes",10,0)</f>
        <v>20</v>
      </c>
      <c r="F142" t="str">
        <f t="shared" si="2"/>
        <v>Low</v>
      </c>
    </row>
    <row r="143" spans="1:6">
      <c r="A143">
        <v>1142</v>
      </c>
      <c r="B143" t="s">
        <v>1775</v>
      </c>
      <c r="C143" t="s">
        <v>20</v>
      </c>
      <c r="D143" t="s">
        <v>1182</v>
      </c>
      <c r="E143">
        <f>IF(VLOOKUP(A143,'Client Master Data'!A:G,4,FALSE)="High",30,IF(VLOOKUP(A143,'Client Master Data'!A:G,4,FALSE)="Medium",20,10))+IF(VLOOKUP(A143,'Client Master Data'!A:G,7,FALSE)="Yes",40,0)+IF(C143="Yes",10,0)</f>
        <v>40</v>
      </c>
      <c r="F143" t="str">
        <f t="shared" si="2"/>
        <v>Medium</v>
      </c>
    </row>
    <row r="144" spans="1:6">
      <c r="A144">
        <v>1143</v>
      </c>
      <c r="B144" t="s">
        <v>1776</v>
      </c>
      <c r="C144" t="s">
        <v>14</v>
      </c>
      <c r="D144" t="s">
        <v>930</v>
      </c>
      <c r="E144">
        <f>IF(VLOOKUP(A144,'Client Master Data'!A:G,4,FALSE)="High",30,IF(VLOOKUP(A144,'Client Master Data'!A:G,4,FALSE)="Medium",20,10))+IF(VLOOKUP(A144,'Client Master Data'!A:G,7,FALSE)="Yes",40,0)+IF(C144="Yes",10,0)</f>
        <v>10</v>
      </c>
      <c r="F144" t="str">
        <f t="shared" si="2"/>
        <v>Low</v>
      </c>
    </row>
    <row r="145" spans="1:6">
      <c r="A145">
        <v>1144</v>
      </c>
      <c r="B145" t="s">
        <v>1775</v>
      </c>
      <c r="C145" t="s">
        <v>20</v>
      </c>
      <c r="D145" t="s">
        <v>610</v>
      </c>
      <c r="E145">
        <f>IF(VLOOKUP(A145,'Client Master Data'!A:G,4,FALSE)="High",30,IF(VLOOKUP(A145,'Client Master Data'!A:G,4,FALSE)="Medium",20,10))+IF(VLOOKUP(A145,'Client Master Data'!A:G,7,FALSE)="Yes",40,0)+IF(C145="Yes",10,0)</f>
        <v>40</v>
      </c>
      <c r="F145" t="str">
        <f t="shared" si="2"/>
        <v>Medium</v>
      </c>
    </row>
    <row r="146" spans="1:6">
      <c r="A146">
        <v>1145</v>
      </c>
      <c r="B146" t="s">
        <v>1777</v>
      </c>
      <c r="C146" t="s">
        <v>20</v>
      </c>
      <c r="D146" t="s">
        <v>1036</v>
      </c>
      <c r="E146">
        <f>IF(VLOOKUP(A146,'Client Master Data'!A:G,4,FALSE)="High",30,IF(VLOOKUP(A146,'Client Master Data'!A:G,4,FALSE)="Medium",20,10))+IF(VLOOKUP(A146,'Client Master Data'!A:G,7,FALSE)="Yes",40,0)+IF(C146="Yes",10,0)</f>
        <v>20</v>
      </c>
      <c r="F146" t="str">
        <f t="shared" si="2"/>
        <v>Low</v>
      </c>
    </row>
    <row r="147" spans="1:6">
      <c r="A147">
        <v>1146</v>
      </c>
      <c r="B147" t="s">
        <v>1777</v>
      </c>
      <c r="C147" t="s">
        <v>14</v>
      </c>
      <c r="D147" t="s">
        <v>650</v>
      </c>
      <c r="E147">
        <f>IF(VLOOKUP(A147,'Client Master Data'!A:G,4,FALSE)="High",30,IF(VLOOKUP(A147,'Client Master Data'!A:G,4,FALSE)="Medium",20,10))+IF(VLOOKUP(A147,'Client Master Data'!A:G,7,FALSE)="Yes",40,0)+IF(C147="Yes",10,0)</f>
        <v>50</v>
      </c>
      <c r="F147" t="str">
        <f t="shared" si="2"/>
        <v>Medium</v>
      </c>
    </row>
    <row r="148" spans="1:6">
      <c r="A148">
        <v>1147</v>
      </c>
      <c r="B148" t="s">
        <v>1777</v>
      </c>
      <c r="C148" t="s">
        <v>20</v>
      </c>
      <c r="D148" t="s">
        <v>1507</v>
      </c>
      <c r="E148">
        <f>IF(VLOOKUP(A148,'Client Master Data'!A:G,4,FALSE)="High",30,IF(VLOOKUP(A148,'Client Master Data'!A:G,4,FALSE)="Medium",20,10))+IF(VLOOKUP(A148,'Client Master Data'!A:G,7,FALSE)="Yes",40,0)+IF(C148="Yes",10,0)</f>
        <v>60</v>
      </c>
      <c r="F148" t="str">
        <f t="shared" si="2"/>
        <v>Medium</v>
      </c>
    </row>
    <row r="149" spans="1:6">
      <c r="A149">
        <v>1148</v>
      </c>
      <c r="B149" t="s">
        <v>1776</v>
      </c>
      <c r="C149" t="s">
        <v>20</v>
      </c>
      <c r="D149" t="s">
        <v>828</v>
      </c>
      <c r="E149">
        <f>IF(VLOOKUP(A149,'Client Master Data'!A:G,4,FALSE)="High",30,IF(VLOOKUP(A149,'Client Master Data'!A:G,4,FALSE)="Medium",20,10))+IF(VLOOKUP(A149,'Client Master Data'!A:G,7,FALSE)="Yes",40,0)+IF(C149="Yes",10,0)</f>
        <v>60</v>
      </c>
      <c r="F149" t="str">
        <f t="shared" si="2"/>
        <v>Medium</v>
      </c>
    </row>
    <row r="150" spans="1:6">
      <c r="A150">
        <v>1149</v>
      </c>
      <c r="B150" t="s">
        <v>1775</v>
      </c>
      <c r="C150" t="s">
        <v>20</v>
      </c>
      <c r="D150" t="s">
        <v>888</v>
      </c>
      <c r="E150">
        <f>IF(VLOOKUP(A150,'Client Master Data'!A:G,4,FALSE)="High",30,IF(VLOOKUP(A150,'Client Master Data'!A:G,4,FALSE)="Medium",20,10))+IF(VLOOKUP(A150,'Client Master Data'!A:G,7,FALSE)="Yes",40,0)+IF(C150="Yes",10,0)</f>
        <v>60</v>
      </c>
      <c r="F150" t="str">
        <f t="shared" si="2"/>
        <v>Medium</v>
      </c>
    </row>
    <row r="151" spans="1:6">
      <c r="A151">
        <v>1150</v>
      </c>
      <c r="B151" t="s">
        <v>1777</v>
      </c>
      <c r="C151" t="s">
        <v>20</v>
      </c>
      <c r="D151" t="s">
        <v>915</v>
      </c>
      <c r="E151">
        <f>IF(VLOOKUP(A151,'Client Master Data'!A:G,4,FALSE)="High",30,IF(VLOOKUP(A151,'Client Master Data'!A:G,4,FALSE)="Medium",20,10))+IF(VLOOKUP(A151,'Client Master Data'!A:G,7,FALSE)="Yes",40,0)+IF(C151="Yes",10,0)</f>
        <v>60</v>
      </c>
      <c r="F151" t="str">
        <f t="shared" si="2"/>
        <v>Medium</v>
      </c>
    </row>
    <row r="152" spans="1:6">
      <c r="A152">
        <v>1151</v>
      </c>
      <c r="B152" t="s">
        <v>1777</v>
      </c>
      <c r="C152" t="s">
        <v>14</v>
      </c>
      <c r="D152" t="s">
        <v>1046</v>
      </c>
      <c r="E152">
        <f>IF(VLOOKUP(A152,'Client Master Data'!A:G,4,FALSE)="High",30,IF(VLOOKUP(A152,'Client Master Data'!A:G,4,FALSE)="Medium",20,10))+IF(VLOOKUP(A152,'Client Master Data'!A:G,7,FALSE)="Yes",40,0)+IF(C152="Yes",10,0)</f>
        <v>30</v>
      </c>
      <c r="F152" t="str">
        <f t="shared" si="2"/>
        <v>Low</v>
      </c>
    </row>
    <row r="153" spans="1:6">
      <c r="A153">
        <v>1152</v>
      </c>
      <c r="B153" t="s">
        <v>1775</v>
      </c>
      <c r="C153" t="s">
        <v>14</v>
      </c>
      <c r="D153" t="s">
        <v>769</v>
      </c>
      <c r="E153">
        <f>IF(VLOOKUP(A153,'Client Master Data'!A:G,4,FALSE)="High",30,IF(VLOOKUP(A153,'Client Master Data'!A:G,4,FALSE)="Medium",20,10))+IF(VLOOKUP(A153,'Client Master Data'!A:G,7,FALSE)="Yes",40,0)+IF(C153="Yes",10,0)</f>
        <v>30</v>
      </c>
      <c r="F153" t="str">
        <f t="shared" si="2"/>
        <v>Low</v>
      </c>
    </row>
    <row r="154" spans="1:6">
      <c r="A154">
        <v>1153</v>
      </c>
      <c r="B154" t="s">
        <v>1776</v>
      </c>
      <c r="C154" t="s">
        <v>14</v>
      </c>
      <c r="D154" t="s">
        <v>760</v>
      </c>
      <c r="E154">
        <f>IF(VLOOKUP(A154,'Client Master Data'!A:G,4,FALSE)="High",30,IF(VLOOKUP(A154,'Client Master Data'!A:G,4,FALSE)="Medium",20,10))+IF(VLOOKUP(A154,'Client Master Data'!A:G,7,FALSE)="Yes",40,0)+IF(C154="Yes",10,0)</f>
        <v>50</v>
      </c>
      <c r="F154" t="str">
        <f t="shared" si="2"/>
        <v>Medium</v>
      </c>
    </row>
    <row r="155" spans="1:6">
      <c r="A155">
        <v>1154</v>
      </c>
      <c r="B155" t="s">
        <v>1777</v>
      </c>
      <c r="C155" t="s">
        <v>20</v>
      </c>
      <c r="D155" t="s">
        <v>878</v>
      </c>
      <c r="E155">
        <f>IF(VLOOKUP(A155,'Client Master Data'!A:G,4,FALSE)="High",30,IF(VLOOKUP(A155,'Client Master Data'!A:G,4,FALSE)="Medium",20,10))+IF(VLOOKUP(A155,'Client Master Data'!A:G,7,FALSE)="Yes",40,0)+IF(C155="Yes",10,0)</f>
        <v>60</v>
      </c>
      <c r="F155" t="str">
        <f t="shared" si="2"/>
        <v>Medium</v>
      </c>
    </row>
    <row r="156" spans="1:6">
      <c r="A156">
        <v>1155</v>
      </c>
      <c r="B156" t="s">
        <v>1776</v>
      </c>
      <c r="C156" t="s">
        <v>14</v>
      </c>
      <c r="D156" t="s">
        <v>608</v>
      </c>
      <c r="E156">
        <f>IF(VLOOKUP(A156,'Client Master Data'!A:G,4,FALSE)="High",30,IF(VLOOKUP(A156,'Client Master Data'!A:G,4,FALSE)="Medium",20,10))+IF(VLOOKUP(A156,'Client Master Data'!A:G,7,FALSE)="Yes",40,0)+IF(C156="Yes",10,0)</f>
        <v>30</v>
      </c>
      <c r="F156" t="str">
        <f t="shared" si="2"/>
        <v>Low</v>
      </c>
    </row>
    <row r="157" spans="1:6">
      <c r="A157">
        <v>1156</v>
      </c>
      <c r="B157" t="s">
        <v>1777</v>
      </c>
      <c r="C157" t="s">
        <v>20</v>
      </c>
      <c r="D157" t="s">
        <v>897</v>
      </c>
      <c r="E157">
        <f>IF(VLOOKUP(A157,'Client Master Data'!A:G,4,FALSE)="High",30,IF(VLOOKUP(A157,'Client Master Data'!A:G,4,FALSE)="Medium",20,10))+IF(VLOOKUP(A157,'Client Master Data'!A:G,7,FALSE)="Yes",40,0)+IF(C157="Yes",10,0)</f>
        <v>40</v>
      </c>
      <c r="F157" t="str">
        <f t="shared" si="2"/>
        <v>Medium</v>
      </c>
    </row>
    <row r="158" spans="1:6">
      <c r="A158">
        <v>1157</v>
      </c>
      <c r="B158" t="s">
        <v>1777</v>
      </c>
      <c r="C158" t="s">
        <v>14</v>
      </c>
      <c r="D158" t="s">
        <v>866</v>
      </c>
      <c r="E158">
        <f>IF(VLOOKUP(A158,'Client Master Data'!A:G,4,FALSE)="High",30,IF(VLOOKUP(A158,'Client Master Data'!A:G,4,FALSE)="Medium",20,10))+IF(VLOOKUP(A158,'Client Master Data'!A:G,7,FALSE)="Yes",40,0)+IF(C158="Yes",10,0)</f>
        <v>50</v>
      </c>
      <c r="F158" t="str">
        <f t="shared" si="2"/>
        <v>Medium</v>
      </c>
    </row>
    <row r="159" spans="1:6">
      <c r="A159">
        <v>1158</v>
      </c>
      <c r="B159" t="s">
        <v>1776</v>
      </c>
      <c r="C159" t="s">
        <v>20</v>
      </c>
      <c r="D159" t="s">
        <v>671</v>
      </c>
      <c r="E159">
        <f>IF(VLOOKUP(A159,'Client Master Data'!A:G,4,FALSE)="High",30,IF(VLOOKUP(A159,'Client Master Data'!A:G,4,FALSE)="Medium",20,10))+IF(VLOOKUP(A159,'Client Master Data'!A:G,7,FALSE)="Yes",40,0)+IF(C159="Yes",10,0)</f>
        <v>20</v>
      </c>
      <c r="F159" t="str">
        <f t="shared" si="2"/>
        <v>Low</v>
      </c>
    </row>
    <row r="160" spans="1:6">
      <c r="A160">
        <v>1159</v>
      </c>
      <c r="B160" t="s">
        <v>1775</v>
      </c>
      <c r="C160" t="s">
        <v>20</v>
      </c>
      <c r="D160" t="s">
        <v>646</v>
      </c>
      <c r="E160">
        <f>IF(VLOOKUP(A160,'Client Master Data'!A:G,4,FALSE)="High",30,IF(VLOOKUP(A160,'Client Master Data'!A:G,4,FALSE)="Medium",20,10))+IF(VLOOKUP(A160,'Client Master Data'!A:G,7,FALSE)="Yes",40,0)+IF(C160="Yes",10,0)</f>
        <v>20</v>
      </c>
      <c r="F160" t="str">
        <f t="shared" si="2"/>
        <v>Low</v>
      </c>
    </row>
    <row r="161" spans="1:6">
      <c r="A161">
        <v>1160</v>
      </c>
      <c r="B161" t="s">
        <v>1777</v>
      </c>
      <c r="C161" t="s">
        <v>20</v>
      </c>
      <c r="D161" t="s">
        <v>908</v>
      </c>
      <c r="E161">
        <f>IF(VLOOKUP(A161,'Client Master Data'!A:G,4,FALSE)="High",30,IF(VLOOKUP(A161,'Client Master Data'!A:G,4,FALSE)="Medium",20,10))+IF(VLOOKUP(A161,'Client Master Data'!A:G,7,FALSE)="Yes",40,0)+IF(C161="Yes",10,0)</f>
        <v>20</v>
      </c>
      <c r="F161" t="str">
        <f t="shared" si="2"/>
        <v>Low</v>
      </c>
    </row>
    <row r="162" spans="1:6">
      <c r="A162">
        <v>1161</v>
      </c>
      <c r="B162" t="s">
        <v>1777</v>
      </c>
      <c r="C162" t="s">
        <v>14</v>
      </c>
      <c r="D162" t="s">
        <v>709</v>
      </c>
      <c r="E162">
        <f>IF(VLOOKUP(A162,'Client Master Data'!A:G,4,FALSE)="High",30,IF(VLOOKUP(A162,'Client Master Data'!A:G,4,FALSE)="Medium",20,10))+IF(VLOOKUP(A162,'Client Master Data'!A:G,7,FALSE)="Yes",40,0)+IF(C162="Yes",10,0)</f>
        <v>50</v>
      </c>
      <c r="F162" t="str">
        <f t="shared" si="2"/>
        <v>Medium</v>
      </c>
    </row>
    <row r="163" spans="1:6">
      <c r="A163">
        <v>1162</v>
      </c>
      <c r="B163" t="s">
        <v>1777</v>
      </c>
      <c r="C163" t="s">
        <v>14</v>
      </c>
      <c r="D163" t="s">
        <v>736</v>
      </c>
      <c r="E163">
        <f>IF(VLOOKUP(A163,'Client Master Data'!A:G,4,FALSE)="High",30,IF(VLOOKUP(A163,'Client Master Data'!A:G,4,FALSE)="Medium",20,10))+IF(VLOOKUP(A163,'Client Master Data'!A:G,7,FALSE)="Yes",40,0)+IF(C163="Yes",10,0)</f>
        <v>30</v>
      </c>
      <c r="F163" t="str">
        <f t="shared" si="2"/>
        <v>Low</v>
      </c>
    </row>
    <row r="164" spans="1:6">
      <c r="A164">
        <v>1163</v>
      </c>
      <c r="B164" t="s">
        <v>1775</v>
      </c>
      <c r="C164" t="s">
        <v>14</v>
      </c>
      <c r="D164" t="s">
        <v>895</v>
      </c>
      <c r="E164">
        <f>IF(VLOOKUP(A164,'Client Master Data'!A:G,4,FALSE)="High",30,IF(VLOOKUP(A164,'Client Master Data'!A:G,4,FALSE)="Medium",20,10))+IF(VLOOKUP(A164,'Client Master Data'!A:G,7,FALSE)="Yes",40,0)+IF(C164="Yes",10,0)</f>
        <v>10</v>
      </c>
      <c r="F164" t="str">
        <f t="shared" si="2"/>
        <v>Low</v>
      </c>
    </row>
    <row r="165" spans="1:6">
      <c r="A165">
        <v>1164</v>
      </c>
      <c r="B165" t="s">
        <v>1777</v>
      </c>
      <c r="C165" t="s">
        <v>20</v>
      </c>
      <c r="D165" t="s">
        <v>720</v>
      </c>
      <c r="E165">
        <f>IF(VLOOKUP(A165,'Client Master Data'!A:G,4,FALSE)="High",30,IF(VLOOKUP(A165,'Client Master Data'!A:G,4,FALSE)="Medium",20,10))+IF(VLOOKUP(A165,'Client Master Data'!A:G,7,FALSE)="Yes",40,0)+IF(C165="Yes",10,0)</f>
        <v>40</v>
      </c>
      <c r="F165" t="str">
        <f t="shared" si="2"/>
        <v>Medium</v>
      </c>
    </row>
    <row r="166" spans="1:6">
      <c r="A166">
        <v>1165</v>
      </c>
      <c r="B166" t="s">
        <v>1775</v>
      </c>
      <c r="C166" t="s">
        <v>20</v>
      </c>
      <c r="D166" t="s">
        <v>640</v>
      </c>
      <c r="E166">
        <f>IF(VLOOKUP(A166,'Client Master Data'!A:G,4,FALSE)="High",30,IF(VLOOKUP(A166,'Client Master Data'!A:G,4,FALSE)="Medium",20,10))+IF(VLOOKUP(A166,'Client Master Data'!A:G,7,FALSE)="Yes",40,0)+IF(C166="Yes",10,0)</f>
        <v>30</v>
      </c>
      <c r="F166" t="str">
        <f t="shared" si="2"/>
        <v>Low</v>
      </c>
    </row>
    <row r="167" spans="1:6">
      <c r="A167">
        <v>1166</v>
      </c>
      <c r="B167" t="s">
        <v>1777</v>
      </c>
      <c r="C167" t="s">
        <v>14</v>
      </c>
      <c r="D167" t="s">
        <v>839</v>
      </c>
      <c r="E167">
        <f>IF(VLOOKUP(A167,'Client Master Data'!A:G,4,FALSE)="High",30,IF(VLOOKUP(A167,'Client Master Data'!A:G,4,FALSE)="Medium",20,10))+IF(VLOOKUP(A167,'Client Master Data'!A:G,7,FALSE)="Yes",40,0)+IF(C167="Yes",10,0)</f>
        <v>50</v>
      </c>
      <c r="F167" t="str">
        <f t="shared" si="2"/>
        <v>Medium</v>
      </c>
    </row>
    <row r="168" spans="1:6">
      <c r="A168">
        <v>1167</v>
      </c>
      <c r="B168" t="s">
        <v>1775</v>
      </c>
      <c r="C168" t="s">
        <v>14</v>
      </c>
      <c r="D168" t="s">
        <v>1036</v>
      </c>
      <c r="E168">
        <f>IF(VLOOKUP(A168,'Client Master Data'!A:G,4,FALSE)="High",30,IF(VLOOKUP(A168,'Client Master Data'!A:G,4,FALSE)="Medium",20,10))+IF(VLOOKUP(A168,'Client Master Data'!A:G,7,FALSE)="Yes",40,0)+IF(C168="Yes",10,0)</f>
        <v>10</v>
      </c>
      <c r="F168" t="str">
        <f t="shared" si="2"/>
        <v>Low</v>
      </c>
    </row>
    <row r="169" spans="1:6">
      <c r="A169">
        <v>1168</v>
      </c>
      <c r="B169" t="s">
        <v>1775</v>
      </c>
      <c r="C169" t="s">
        <v>14</v>
      </c>
      <c r="D169" t="s">
        <v>720</v>
      </c>
      <c r="E169">
        <f>IF(VLOOKUP(A169,'Client Master Data'!A:G,4,FALSE)="High",30,IF(VLOOKUP(A169,'Client Master Data'!A:G,4,FALSE)="Medium",20,10))+IF(VLOOKUP(A169,'Client Master Data'!A:G,7,FALSE)="Yes",40,0)+IF(C169="Yes",10,0)</f>
        <v>60</v>
      </c>
      <c r="F169" t="str">
        <f t="shared" si="2"/>
        <v>Medium</v>
      </c>
    </row>
    <row r="170" spans="1:6">
      <c r="A170">
        <v>1169</v>
      </c>
      <c r="B170" t="s">
        <v>1775</v>
      </c>
      <c r="C170" t="s">
        <v>20</v>
      </c>
      <c r="D170" t="s">
        <v>967</v>
      </c>
      <c r="E170">
        <f>IF(VLOOKUP(A170,'Client Master Data'!A:G,4,FALSE)="High",30,IF(VLOOKUP(A170,'Client Master Data'!A:G,4,FALSE)="Medium",20,10))+IF(VLOOKUP(A170,'Client Master Data'!A:G,7,FALSE)="Yes",40,0)+IF(C170="Yes",10,0)</f>
        <v>60</v>
      </c>
      <c r="F170" t="str">
        <f t="shared" si="2"/>
        <v>Medium</v>
      </c>
    </row>
    <row r="171" spans="1:6">
      <c r="A171">
        <v>1170</v>
      </c>
      <c r="B171" t="s">
        <v>1775</v>
      </c>
      <c r="C171" t="s">
        <v>14</v>
      </c>
      <c r="D171" t="s">
        <v>1224</v>
      </c>
      <c r="E171">
        <f>IF(VLOOKUP(A171,'Client Master Data'!A:G,4,FALSE)="High",30,IF(VLOOKUP(A171,'Client Master Data'!A:G,4,FALSE)="Medium",20,10))+IF(VLOOKUP(A171,'Client Master Data'!A:G,7,FALSE)="Yes",40,0)+IF(C171="Yes",10,0)</f>
        <v>10</v>
      </c>
      <c r="F171" t="str">
        <f t="shared" si="2"/>
        <v>Low</v>
      </c>
    </row>
    <row r="172" spans="1:6">
      <c r="A172">
        <v>1171</v>
      </c>
      <c r="B172" t="s">
        <v>1775</v>
      </c>
      <c r="C172" t="s">
        <v>14</v>
      </c>
      <c r="D172" t="s">
        <v>1031</v>
      </c>
      <c r="E172">
        <f>IF(VLOOKUP(A172,'Client Master Data'!A:G,4,FALSE)="High",30,IF(VLOOKUP(A172,'Client Master Data'!A:G,4,FALSE)="Medium",20,10))+IF(VLOOKUP(A172,'Client Master Data'!A:G,7,FALSE)="Yes",40,0)+IF(C172="Yes",10,0)</f>
        <v>30</v>
      </c>
      <c r="F172" t="str">
        <f t="shared" si="2"/>
        <v>Low</v>
      </c>
    </row>
    <row r="173" spans="1:6">
      <c r="A173">
        <v>1172</v>
      </c>
      <c r="B173" t="s">
        <v>1777</v>
      </c>
      <c r="C173" t="s">
        <v>20</v>
      </c>
      <c r="D173" t="s">
        <v>1046</v>
      </c>
      <c r="E173">
        <f>IF(VLOOKUP(A173,'Client Master Data'!A:G,4,FALSE)="High",30,IF(VLOOKUP(A173,'Client Master Data'!A:G,4,FALSE)="Medium",20,10))+IF(VLOOKUP(A173,'Client Master Data'!A:G,7,FALSE)="Yes",40,0)+IF(C173="Yes",10,0)</f>
        <v>30</v>
      </c>
      <c r="F173" t="str">
        <f t="shared" si="2"/>
        <v>Low</v>
      </c>
    </row>
    <row r="174" spans="1:6">
      <c r="A174">
        <v>1173</v>
      </c>
      <c r="B174" t="s">
        <v>1777</v>
      </c>
      <c r="C174" t="s">
        <v>14</v>
      </c>
      <c r="D174" t="s">
        <v>740</v>
      </c>
      <c r="E174">
        <f>IF(VLOOKUP(A174,'Client Master Data'!A:G,4,FALSE)="High",30,IF(VLOOKUP(A174,'Client Master Data'!A:G,4,FALSE)="Medium",20,10))+IF(VLOOKUP(A174,'Client Master Data'!A:G,7,FALSE)="Yes",40,0)+IF(C174="Yes",10,0)</f>
        <v>10</v>
      </c>
      <c r="F174" t="str">
        <f t="shared" si="2"/>
        <v>Low</v>
      </c>
    </row>
    <row r="175" spans="1:6">
      <c r="A175">
        <v>1174</v>
      </c>
      <c r="B175" t="s">
        <v>1775</v>
      </c>
      <c r="C175" t="s">
        <v>14</v>
      </c>
      <c r="D175" t="s">
        <v>1507</v>
      </c>
      <c r="E175">
        <f>IF(VLOOKUP(A175,'Client Master Data'!A:G,4,FALSE)="High",30,IF(VLOOKUP(A175,'Client Master Data'!A:G,4,FALSE)="Medium",20,10))+IF(VLOOKUP(A175,'Client Master Data'!A:G,7,FALSE)="Yes",40,0)+IF(C175="Yes",10,0)</f>
        <v>70</v>
      </c>
      <c r="F175" t="str">
        <f t="shared" si="2"/>
        <v>Medium</v>
      </c>
    </row>
    <row r="176" spans="1:6">
      <c r="A176">
        <v>1175</v>
      </c>
      <c r="B176" t="s">
        <v>1777</v>
      </c>
      <c r="C176" t="s">
        <v>20</v>
      </c>
      <c r="D176" t="s">
        <v>633</v>
      </c>
      <c r="E176">
        <f>IF(VLOOKUP(A176,'Client Master Data'!A:G,4,FALSE)="High",30,IF(VLOOKUP(A176,'Client Master Data'!A:G,4,FALSE)="Medium",20,10))+IF(VLOOKUP(A176,'Client Master Data'!A:G,7,FALSE)="Yes",40,0)+IF(C176="Yes",10,0)</f>
        <v>60</v>
      </c>
      <c r="F176" t="str">
        <f t="shared" si="2"/>
        <v>Medium</v>
      </c>
    </row>
    <row r="177" spans="1:6">
      <c r="A177">
        <v>1176</v>
      </c>
      <c r="B177" t="s">
        <v>1775</v>
      </c>
      <c r="C177" t="s">
        <v>20</v>
      </c>
      <c r="D177" t="s">
        <v>738</v>
      </c>
      <c r="E177">
        <f>IF(VLOOKUP(A177,'Client Master Data'!A:G,4,FALSE)="High",30,IF(VLOOKUP(A177,'Client Master Data'!A:G,4,FALSE)="Medium",20,10))+IF(VLOOKUP(A177,'Client Master Data'!A:G,7,FALSE)="Yes",40,0)+IF(C177="Yes",10,0)</f>
        <v>60</v>
      </c>
      <c r="F177" t="str">
        <f t="shared" si="2"/>
        <v>Medium</v>
      </c>
    </row>
    <row r="178" spans="1:6">
      <c r="A178">
        <v>1177</v>
      </c>
      <c r="B178" t="s">
        <v>1776</v>
      </c>
      <c r="C178" t="s">
        <v>14</v>
      </c>
      <c r="D178" t="s">
        <v>1370</v>
      </c>
      <c r="E178">
        <f>IF(VLOOKUP(A178,'Client Master Data'!A:G,4,FALSE)="High",30,IF(VLOOKUP(A178,'Client Master Data'!A:G,4,FALSE)="Medium",20,10))+IF(VLOOKUP(A178,'Client Master Data'!A:G,7,FALSE)="Yes",40,0)+IF(C178="Yes",10,0)</f>
        <v>10</v>
      </c>
      <c r="F178" t="str">
        <f t="shared" si="2"/>
        <v>Low</v>
      </c>
    </row>
    <row r="179" spans="1:6">
      <c r="A179">
        <v>1178</v>
      </c>
      <c r="B179" t="s">
        <v>1776</v>
      </c>
      <c r="C179" t="s">
        <v>14</v>
      </c>
      <c r="D179" t="s">
        <v>1118</v>
      </c>
      <c r="E179">
        <f>IF(VLOOKUP(A179,'Client Master Data'!A:G,4,FALSE)="High",30,IF(VLOOKUP(A179,'Client Master Data'!A:G,4,FALSE)="Medium",20,10))+IF(VLOOKUP(A179,'Client Master Data'!A:G,7,FALSE)="Yes",40,0)+IF(C179="Yes",10,0)</f>
        <v>10</v>
      </c>
      <c r="F179" t="str">
        <f t="shared" si="2"/>
        <v>Low</v>
      </c>
    </row>
    <row r="180" spans="1:6">
      <c r="A180">
        <v>1179</v>
      </c>
      <c r="B180" t="s">
        <v>1775</v>
      </c>
      <c r="C180" t="s">
        <v>14</v>
      </c>
      <c r="D180" t="s">
        <v>618</v>
      </c>
      <c r="E180">
        <f>IF(VLOOKUP(A180,'Client Master Data'!A:G,4,FALSE)="High",30,IF(VLOOKUP(A180,'Client Master Data'!A:G,4,FALSE)="Medium",20,10))+IF(VLOOKUP(A180,'Client Master Data'!A:G,7,FALSE)="Yes",40,0)+IF(C180="Yes",10,0)</f>
        <v>10</v>
      </c>
      <c r="F180" t="str">
        <f t="shared" si="2"/>
        <v>Low</v>
      </c>
    </row>
    <row r="181" spans="1:6">
      <c r="A181">
        <v>1180</v>
      </c>
      <c r="B181" t="s">
        <v>1775</v>
      </c>
      <c r="C181" t="s">
        <v>14</v>
      </c>
      <c r="D181" t="s">
        <v>642</v>
      </c>
      <c r="E181">
        <f>IF(VLOOKUP(A181,'Client Master Data'!A:G,4,FALSE)="High",30,IF(VLOOKUP(A181,'Client Master Data'!A:G,4,FALSE)="Medium",20,10))+IF(VLOOKUP(A181,'Client Master Data'!A:G,7,FALSE)="Yes",40,0)+IF(C181="Yes",10,0)</f>
        <v>60</v>
      </c>
      <c r="F181" t="str">
        <f t="shared" si="2"/>
        <v>Medium</v>
      </c>
    </row>
    <row r="182" spans="1:6">
      <c r="A182">
        <v>1181</v>
      </c>
      <c r="B182" t="s">
        <v>1775</v>
      </c>
      <c r="C182" t="s">
        <v>20</v>
      </c>
      <c r="D182" t="s">
        <v>1324</v>
      </c>
      <c r="E182">
        <f>IF(VLOOKUP(A182,'Client Master Data'!A:G,4,FALSE)="High",30,IF(VLOOKUP(A182,'Client Master Data'!A:G,4,FALSE)="Medium",20,10))+IF(VLOOKUP(A182,'Client Master Data'!A:G,7,FALSE)="Yes",40,0)+IF(C182="Yes",10,0)</f>
        <v>80</v>
      </c>
      <c r="F182" t="str">
        <f t="shared" si="2"/>
        <v>High</v>
      </c>
    </row>
    <row r="183" spans="1:6">
      <c r="A183">
        <v>1182</v>
      </c>
      <c r="B183" t="s">
        <v>1777</v>
      </c>
      <c r="C183" t="s">
        <v>14</v>
      </c>
      <c r="D183" t="s">
        <v>725</v>
      </c>
      <c r="E183">
        <f>IF(VLOOKUP(A183,'Client Master Data'!A:G,4,FALSE)="High",30,IF(VLOOKUP(A183,'Client Master Data'!A:G,4,FALSE)="Medium",20,10))+IF(VLOOKUP(A183,'Client Master Data'!A:G,7,FALSE)="Yes",40,0)+IF(C183="Yes",10,0)</f>
        <v>70</v>
      </c>
      <c r="F183" t="str">
        <f t="shared" si="2"/>
        <v>Medium</v>
      </c>
    </row>
    <row r="184" spans="1:6">
      <c r="A184">
        <v>1183</v>
      </c>
      <c r="B184" t="s">
        <v>1775</v>
      </c>
      <c r="C184" t="s">
        <v>20</v>
      </c>
      <c r="D184" t="s">
        <v>1182</v>
      </c>
      <c r="E184">
        <f>IF(VLOOKUP(A184,'Client Master Data'!A:G,4,FALSE)="High",30,IF(VLOOKUP(A184,'Client Master Data'!A:G,4,FALSE)="Medium",20,10))+IF(VLOOKUP(A184,'Client Master Data'!A:G,7,FALSE)="Yes",40,0)+IF(C184="Yes",10,0)</f>
        <v>60</v>
      </c>
      <c r="F184" t="str">
        <f t="shared" si="2"/>
        <v>Medium</v>
      </c>
    </row>
    <row r="185" spans="1:6">
      <c r="A185">
        <v>1184</v>
      </c>
      <c r="B185" t="s">
        <v>1776</v>
      </c>
      <c r="C185" t="s">
        <v>20</v>
      </c>
      <c r="D185" t="s">
        <v>692</v>
      </c>
      <c r="E185">
        <f>IF(VLOOKUP(A185,'Client Master Data'!A:G,4,FALSE)="High",30,IF(VLOOKUP(A185,'Client Master Data'!A:G,4,FALSE)="Medium",20,10))+IF(VLOOKUP(A185,'Client Master Data'!A:G,7,FALSE)="Yes",40,0)+IF(C185="Yes",10,0)</f>
        <v>60</v>
      </c>
      <c r="F185" t="str">
        <f t="shared" si="2"/>
        <v>Medium</v>
      </c>
    </row>
    <row r="186" spans="1:6">
      <c r="A186">
        <v>1185</v>
      </c>
      <c r="B186" t="s">
        <v>1776</v>
      </c>
      <c r="C186" t="s">
        <v>14</v>
      </c>
      <c r="D186" t="s">
        <v>991</v>
      </c>
      <c r="E186">
        <f>IF(VLOOKUP(A186,'Client Master Data'!A:G,4,FALSE)="High",30,IF(VLOOKUP(A186,'Client Master Data'!A:G,4,FALSE)="Medium",20,10))+IF(VLOOKUP(A186,'Client Master Data'!A:G,7,FALSE)="Yes",40,0)+IF(C186="Yes",10,0)</f>
        <v>20</v>
      </c>
      <c r="F186" t="str">
        <f t="shared" si="2"/>
        <v>Low</v>
      </c>
    </row>
    <row r="187" spans="1:6">
      <c r="A187">
        <v>1186</v>
      </c>
      <c r="B187" t="s">
        <v>1777</v>
      </c>
      <c r="C187" t="s">
        <v>14</v>
      </c>
      <c r="D187" t="s">
        <v>658</v>
      </c>
      <c r="E187">
        <f>IF(VLOOKUP(A187,'Client Master Data'!A:G,4,FALSE)="High",30,IF(VLOOKUP(A187,'Client Master Data'!A:G,4,FALSE)="Medium",20,10))+IF(VLOOKUP(A187,'Client Master Data'!A:G,7,FALSE)="Yes",40,0)+IF(C187="Yes",10,0)</f>
        <v>50</v>
      </c>
      <c r="F187" t="str">
        <f t="shared" si="2"/>
        <v>Medium</v>
      </c>
    </row>
    <row r="188" spans="1:6">
      <c r="A188">
        <v>1187</v>
      </c>
      <c r="B188" t="s">
        <v>1775</v>
      </c>
      <c r="C188" t="s">
        <v>20</v>
      </c>
      <c r="D188" t="s">
        <v>680</v>
      </c>
      <c r="E188">
        <f>IF(VLOOKUP(A188,'Client Master Data'!A:G,4,FALSE)="High",30,IF(VLOOKUP(A188,'Client Master Data'!A:G,4,FALSE)="Medium",20,10))+IF(VLOOKUP(A188,'Client Master Data'!A:G,7,FALSE)="Yes",40,0)+IF(C188="Yes",10,0)</f>
        <v>60</v>
      </c>
      <c r="F188" t="str">
        <f t="shared" si="2"/>
        <v>Medium</v>
      </c>
    </row>
    <row r="189" spans="1:6">
      <c r="A189">
        <v>1188</v>
      </c>
      <c r="B189" t="s">
        <v>1777</v>
      </c>
      <c r="C189" t="s">
        <v>20</v>
      </c>
      <c r="D189" t="s">
        <v>1467</v>
      </c>
      <c r="E189">
        <f>IF(VLOOKUP(A189,'Client Master Data'!A:G,4,FALSE)="High",30,IF(VLOOKUP(A189,'Client Master Data'!A:G,4,FALSE)="Medium",20,10))+IF(VLOOKUP(A189,'Client Master Data'!A:G,7,FALSE)="Yes",40,0)+IF(C189="Yes",10,0)</f>
        <v>80</v>
      </c>
      <c r="F189" t="str">
        <f t="shared" si="2"/>
        <v>High</v>
      </c>
    </row>
    <row r="190" spans="1:6">
      <c r="A190">
        <v>1189</v>
      </c>
      <c r="B190" t="s">
        <v>1776</v>
      </c>
      <c r="C190" t="s">
        <v>20</v>
      </c>
      <c r="D190" t="s">
        <v>1467</v>
      </c>
      <c r="E190">
        <f>IF(VLOOKUP(A190,'Client Master Data'!A:G,4,FALSE)="High",30,IF(VLOOKUP(A190,'Client Master Data'!A:G,4,FALSE)="Medium",20,10))+IF(VLOOKUP(A190,'Client Master Data'!A:G,7,FALSE)="Yes",40,0)+IF(C190="Yes",10,0)</f>
        <v>80</v>
      </c>
      <c r="F190" t="str">
        <f t="shared" si="2"/>
        <v>High</v>
      </c>
    </row>
    <row r="191" spans="1:6">
      <c r="A191">
        <v>1190</v>
      </c>
      <c r="B191" t="s">
        <v>1776</v>
      </c>
      <c r="C191" t="s">
        <v>20</v>
      </c>
      <c r="D191" t="s">
        <v>845</v>
      </c>
      <c r="E191">
        <f>IF(VLOOKUP(A191,'Client Master Data'!A:G,4,FALSE)="High",30,IF(VLOOKUP(A191,'Client Master Data'!A:G,4,FALSE)="Medium",20,10))+IF(VLOOKUP(A191,'Client Master Data'!A:G,7,FALSE)="Yes",40,0)+IF(C191="Yes",10,0)</f>
        <v>40</v>
      </c>
      <c r="F191" t="str">
        <f t="shared" si="2"/>
        <v>Medium</v>
      </c>
    </row>
    <row r="192" spans="1:6">
      <c r="A192">
        <v>1191</v>
      </c>
      <c r="B192" t="s">
        <v>1777</v>
      </c>
      <c r="C192" t="s">
        <v>20</v>
      </c>
      <c r="D192" t="s">
        <v>828</v>
      </c>
      <c r="E192">
        <f>IF(VLOOKUP(A192,'Client Master Data'!A:G,4,FALSE)="High",30,IF(VLOOKUP(A192,'Client Master Data'!A:G,4,FALSE)="Medium",20,10))+IF(VLOOKUP(A192,'Client Master Data'!A:G,7,FALSE)="Yes",40,0)+IF(C192="Yes",10,0)</f>
        <v>80</v>
      </c>
      <c r="F192" t="str">
        <f t="shared" si="2"/>
        <v>High</v>
      </c>
    </row>
    <row r="193" spans="1:6">
      <c r="A193">
        <v>1192</v>
      </c>
      <c r="B193" t="s">
        <v>1776</v>
      </c>
      <c r="C193" t="s">
        <v>14</v>
      </c>
      <c r="D193" t="s">
        <v>736</v>
      </c>
      <c r="E193">
        <f>IF(VLOOKUP(A193,'Client Master Data'!A:G,4,FALSE)="High",30,IF(VLOOKUP(A193,'Client Master Data'!A:G,4,FALSE)="Medium",20,10))+IF(VLOOKUP(A193,'Client Master Data'!A:G,7,FALSE)="Yes",40,0)+IF(C193="Yes",10,0)</f>
        <v>30</v>
      </c>
      <c r="F193" t="str">
        <f t="shared" si="2"/>
        <v>Low</v>
      </c>
    </row>
    <row r="194" spans="1:6">
      <c r="A194">
        <v>1193</v>
      </c>
      <c r="B194" t="s">
        <v>1776</v>
      </c>
      <c r="C194" t="s">
        <v>14</v>
      </c>
      <c r="D194" t="s">
        <v>648</v>
      </c>
      <c r="E194">
        <f>IF(VLOOKUP(A194,'Client Master Data'!A:G,4,FALSE)="High",30,IF(VLOOKUP(A194,'Client Master Data'!A:G,4,FALSE)="Medium",20,10))+IF(VLOOKUP(A194,'Client Master Data'!A:G,7,FALSE)="Yes",40,0)+IF(C194="Yes",10,0)</f>
        <v>10</v>
      </c>
      <c r="F194" t="str">
        <f t="shared" ref="F194:F257" si="3">IF(E194&lt;=30,"Low",IF(E194&lt;=70,"Medium","High"))</f>
        <v>Low</v>
      </c>
    </row>
    <row r="195" spans="1:6">
      <c r="A195">
        <v>1194</v>
      </c>
      <c r="B195" t="s">
        <v>1775</v>
      </c>
      <c r="C195" t="s">
        <v>14</v>
      </c>
      <c r="D195" t="s">
        <v>1507</v>
      </c>
      <c r="E195">
        <f>IF(VLOOKUP(A195,'Client Master Data'!A:G,4,FALSE)="High",30,IF(VLOOKUP(A195,'Client Master Data'!A:G,4,FALSE)="Medium",20,10))+IF(VLOOKUP(A195,'Client Master Data'!A:G,7,FALSE)="Yes",40,0)+IF(C195="Yes",10,0)</f>
        <v>10</v>
      </c>
      <c r="F195" t="str">
        <f t="shared" si="3"/>
        <v>Low</v>
      </c>
    </row>
    <row r="196" spans="1:6">
      <c r="A196">
        <v>1195</v>
      </c>
      <c r="B196" t="s">
        <v>1775</v>
      </c>
      <c r="C196" t="s">
        <v>14</v>
      </c>
      <c r="D196" t="s">
        <v>703</v>
      </c>
      <c r="E196">
        <f>IF(VLOOKUP(A196,'Client Master Data'!A:G,4,FALSE)="High",30,IF(VLOOKUP(A196,'Client Master Data'!A:G,4,FALSE)="Medium",20,10))+IF(VLOOKUP(A196,'Client Master Data'!A:G,7,FALSE)="Yes",40,0)+IF(C196="Yes",10,0)</f>
        <v>50</v>
      </c>
      <c r="F196" t="str">
        <f t="shared" si="3"/>
        <v>Medium</v>
      </c>
    </row>
    <row r="197" spans="1:6">
      <c r="A197">
        <v>1196</v>
      </c>
      <c r="B197" t="s">
        <v>1775</v>
      </c>
      <c r="C197" t="s">
        <v>14</v>
      </c>
      <c r="D197" t="s">
        <v>663</v>
      </c>
      <c r="E197">
        <f>IF(VLOOKUP(A197,'Client Master Data'!A:G,4,FALSE)="High",30,IF(VLOOKUP(A197,'Client Master Data'!A:G,4,FALSE)="Medium",20,10))+IF(VLOOKUP(A197,'Client Master Data'!A:G,7,FALSE)="Yes",40,0)+IF(C197="Yes",10,0)</f>
        <v>70</v>
      </c>
      <c r="F197" t="str">
        <f t="shared" si="3"/>
        <v>Medium</v>
      </c>
    </row>
    <row r="198" spans="1:6">
      <c r="A198">
        <v>1197</v>
      </c>
      <c r="B198" t="s">
        <v>1776</v>
      </c>
      <c r="C198" t="s">
        <v>14</v>
      </c>
      <c r="D198" t="s">
        <v>676</v>
      </c>
      <c r="E198">
        <f>IF(VLOOKUP(A198,'Client Master Data'!A:G,4,FALSE)="High",30,IF(VLOOKUP(A198,'Client Master Data'!A:G,4,FALSE)="Medium",20,10))+IF(VLOOKUP(A198,'Client Master Data'!A:G,7,FALSE)="Yes",40,0)+IF(C198="Yes",10,0)</f>
        <v>10</v>
      </c>
      <c r="F198" t="str">
        <f t="shared" si="3"/>
        <v>Low</v>
      </c>
    </row>
    <row r="199" spans="1:6">
      <c r="A199">
        <v>1198</v>
      </c>
      <c r="B199" t="s">
        <v>1776</v>
      </c>
      <c r="C199" t="s">
        <v>20</v>
      </c>
      <c r="D199" t="s">
        <v>863</v>
      </c>
      <c r="E199">
        <f>IF(VLOOKUP(A199,'Client Master Data'!A:G,4,FALSE)="High",30,IF(VLOOKUP(A199,'Client Master Data'!A:G,4,FALSE)="Medium",20,10))+IF(VLOOKUP(A199,'Client Master Data'!A:G,7,FALSE)="Yes",40,0)+IF(C199="Yes",10,0)</f>
        <v>40</v>
      </c>
      <c r="F199" t="str">
        <f t="shared" si="3"/>
        <v>Medium</v>
      </c>
    </row>
    <row r="200" spans="1:6">
      <c r="A200">
        <v>1199</v>
      </c>
      <c r="B200" t="s">
        <v>1776</v>
      </c>
      <c r="C200" t="s">
        <v>20</v>
      </c>
      <c r="D200" t="s">
        <v>696</v>
      </c>
      <c r="E200">
        <f>IF(VLOOKUP(A200,'Client Master Data'!A:G,4,FALSE)="High",30,IF(VLOOKUP(A200,'Client Master Data'!A:G,4,FALSE)="Medium",20,10))+IF(VLOOKUP(A200,'Client Master Data'!A:G,7,FALSE)="Yes",40,0)+IF(C200="Yes",10,0)</f>
        <v>20</v>
      </c>
      <c r="F200" t="str">
        <f t="shared" si="3"/>
        <v>Low</v>
      </c>
    </row>
    <row r="201" spans="1:6">
      <c r="A201">
        <v>1200</v>
      </c>
      <c r="B201" t="s">
        <v>1777</v>
      </c>
      <c r="C201" t="s">
        <v>20</v>
      </c>
      <c r="D201" t="s">
        <v>785</v>
      </c>
      <c r="E201">
        <f>IF(VLOOKUP(A201,'Client Master Data'!A:G,4,FALSE)="High",30,IF(VLOOKUP(A201,'Client Master Data'!A:G,4,FALSE)="Medium",20,10))+IF(VLOOKUP(A201,'Client Master Data'!A:G,7,FALSE)="Yes",40,0)+IF(C201="Yes",10,0)</f>
        <v>20</v>
      </c>
      <c r="F201" t="str">
        <f t="shared" si="3"/>
        <v>Low</v>
      </c>
    </row>
    <row r="202" spans="1:6">
      <c r="A202">
        <v>1201</v>
      </c>
      <c r="B202" t="s">
        <v>1777</v>
      </c>
      <c r="C202" t="s">
        <v>20</v>
      </c>
      <c r="D202" t="s">
        <v>1194</v>
      </c>
      <c r="E202">
        <f>IF(VLOOKUP(A202,'Client Master Data'!A:G,4,FALSE)="High",30,IF(VLOOKUP(A202,'Client Master Data'!A:G,4,FALSE)="Medium",20,10))+IF(VLOOKUP(A202,'Client Master Data'!A:G,7,FALSE)="Yes",40,0)+IF(C202="Yes",10,0)</f>
        <v>80</v>
      </c>
      <c r="F202" t="str">
        <f t="shared" si="3"/>
        <v>High</v>
      </c>
    </row>
    <row r="203" spans="1:6">
      <c r="A203">
        <v>1202</v>
      </c>
      <c r="B203" t="s">
        <v>1777</v>
      </c>
      <c r="C203" t="s">
        <v>14</v>
      </c>
      <c r="D203" t="s">
        <v>623</v>
      </c>
      <c r="E203">
        <f>IF(VLOOKUP(A203,'Client Master Data'!A:G,4,FALSE)="High",30,IF(VLOOKUP(A203,'Client Master Data'!A:G,4,FALSE)="Medium",20,10))+IF(VLOOKUP(A203,'Client Master Data'!A:G,7,FALSE)="Yes",40,0)+IF(C203="Yes",10,0)</f>
        <v>10</v>
      </c>
      <c r="F203" t="str">
        <f t="shared" si="3"/>
        <v>Low</v>
      </c>
    </row>
    <row r="204" spans="1:6">
      <c r="A204">
        <v>1203</v>
      </c>
      <c r="B204" t="s">
        <v>1776</v>
      </c>
      <c r="C204" t="s">
        <v>20</v>
      </c>
      <c r="D204" t="s">
        <v>604</v>
      </c>
      <c r="E204">
        <f>IF(VLOOKUP(A204,'Client Master Data'!A:G,4,FALSE)="High",30,IF(VLOOKUP(A204,'Client Master Data'!A:G,4,FALSE)="Medium",20,10))+IF(VLOOKUP(A204,'Client Master Data'!A:G,7,FALSE)="Yes",40,0)+IF(C204="Yes",10,0)</f>
        <v>20</v>
      </c>
      <c r="F204" t="str">
        <f t="shared" si="3"/>
        <v>Low</v>
      </c>
    </row>
    <row r="205" spans="1:6">
      <c r="A205">
        <v>1204</v>
      </c>
      <c r="B205" t="s">
        <v>1775</v>
      </c>
      <c r="C205" t="s">
        <v>20</v>
      </c>
      <c r="D205" t="s">
        <v>652</v>
      </c>
      <c r="E205">
        <f>IF(VLOOKUP(A205,'Client Master Data'!A:G,4,FALSE)="High",30,IF(VLOOKUP(A205,'Client Master Data'!A:G,4,FALSE)="Medium",20,10))+IF(VLOOKUP(A205,'Client Master Data'!A:G,7,FALSE)="Yes",40,0)+IF(C205="Yes",10,0)</f>
        <v>40</v>
      </c>
      <c r="F205" t="str">
        <f t="shared" si="3"/>
        <v>Medium</v>
      </c>
    </row>
    <row r="206" spans="1:6">
      <c r="A206">
        <v>1205</v>
      </c>
      <c r="B206" t="s">
        <v>1775</v>
      </c>
      <c r="C206" t="s">
        <v>14</v>
      </c>
      <c r="D206" t="s">
        <v>751</v>
      </c>
      <c r="E206">
        <f>IF(VLOOKUP(A206,'Client Master Data'!A:G,4,FALSE)="High",30,IF(VLOOKUP(A206,'Client Master Data'!A:G,4,FALSE)="Medium",20,10))+IF(VLOOKUP(A206,'Client Master Data'!A:G,7,FALSE)="Yes",40,0)+IF(C206="Yes",10,0)</f>
        <v>20</v>
      </c>
      <c r="F206" t="str">
        <f t="shared" si="3"/>
        <v>Low</v>
      </c>
    </row>
    <row r="207" spans="1:6">
      <c r="A207">
        <v>1206</v>
      </c>
      <c r="B207" t="s">
        <v>1775</v>
      </c>
      <c r="C207" t="s">
        <v>20</v>
      </c>
      <c r="D207" t="s">
        <v>1505</v>
      </c>
      <c r="E207">
        <f>IF(VLOOKUP(A207,'Client Master Data'!A:G,4,FALSE)="High",30,IF(VLOOKUP(A207,'Client Master Data'!A:G,4,FALSE)="Medium",20,10))+IF(VLOOKUP(A207,'Client Master Data'!A:G,7,FALSE)="Yes",40,0)+IF(C207="Yes",10,0)</f>
        <v>60</v>
      </c>
      <c r="F207" t="str">
        <f t="shared" si="3"/>
        <v>Medium</v>
      </c>
    </row>
    <row r="208" spans="1:6">
      <c r="A208">
        <v>1207</v>
      </c>
      <c r="B208" t="s">
        <v>1776</v>
      </c>
      <c r="C208" t="s">
        <v>14</v>
      </c>
      <c r="D208" t="s">
        <v>711</v>
      </c>
      <c r="E208">
        <f>IF(VLOOKUP(A208,'Client Master Data'!A:G,4,FALSE)="High",30,IF(VLOOKUP(A208,'Client Master Data'!A:G,4,FALSE)="Medium",20,10))+IF(VLOOKUP(A208,'Client Master Data'!A:G,7,FALSE)="Yes",40,0)+IF(C208="Yes",10,0)</f>
        <v>10</v>
      </c>
      <c r="F208" t="str">
        <f t="shared" si="3"/>
        <v>Low</v>
      </c>
    </row>
    <row r="209" spans="1:6">
      <c r="A209">
        <v>1208</v>
      </c>
      <c r="B209" t="s">
        <v>1775</v>
      </c>
      <c r="C209" t="s">
        <v>20</v>
      </c>
      <c r="D209" t="s">
        <v>590</v>
      </c>
      <c r="E209">
        <f>IF(VLOOKUP(A209,'Client Master Data'!A:G,4,FALSE)="High",30,IF(VLOOKUP(A209,'Client Master Data'!A:G,4,FALSE)="Medium",20,10))+IF(VLOOKUP(A209,'Client Master Data'!A:G,7,FALSE)="Yes",40,0)+IF(C209="Yes",10,0)</f>
        <v>20</v>
      </c>
      <c r="F209" t="str">
        <f t="shared" si="3"/>
        <v>Low</v>
      </c>
    </row>
    <row r="210" spans="1:6">
      <c r="A210">
        <v>1209</v>
      </c>
      <c r="B210" t="s">
        <v>1776</v>
      </c>
      <c r="C210" t="s">
        <v>20</v>
      </c>
      <c r="D210" t="s">
        <v>908</v>
      </c>
      <c r="E210">
        <f>IF(VLOOKUP(A210,'Client Master Data'!A:G,4,FALSE)="High",30,IF(VLOOKUP(A210,'Client Master Data'!A:G,4,FALSE)="Medium",20,10))+IF(VLOOKUP(A210,'Client Master Data'!A:G,7,FALSE)="Yes",40,0)+IF(C210="Yes",10,0)</f>
        <v>20</v>
      </c>
      <c r="F210" t="str">
        <f t="shared" si="3"/>
        <v>Low</v>
      </c>
    </row>
    <row r="211" spans="1:6">
      <c r="A211">
        <v>1210</v>
      </c>
      <c r="B211" t="s">
        <v>1777</v>
      </c>
      <c r="C211" t="s">
        <v>14</v>
      </c>
      <c r="D211" t="s">
        <v>687</v>
      </c>
      <c r="E211">
        <f>IF(VLOOKUP(A211,'Client Master Data'!A:G,4,FALSE)="High",30,IF(VLOOKUP(A211,'Client Master Data'!A:G,4,FALSE)="Medium",20,10))+IF(VLOOKUP(A211,'Client Master Data'!A:G,7,FALSE)="Yes",40,0)+IF(C211="Yes",10,0)</f>
        <v>10</v>
      </c>
      <c r="F211" t="str">
        <f t="shared" si="3"/>
        <v>Low</v>
      </c>
    </row>
    <row r="212" spans="1:6">
      <c r="A212">
        <v>1211</v>
      </c>
      <c r="B212" t="s">
        <v>1775</v>
      </c>
      <c r="C212" t="s">
        <v>14</v>
      </c>
      <c r="D212" t="s">
        <v>1025</v>
      </c>
      <c r="E212">
        <f>IF(VLOOKUP(A212,'Client Master Data'!A:G,4,FALSE)="High",30,IF(VLOOKUP(A212,'Client Master Data'!A:G,4,FALSE)="Medium",20,10))+IF(VLOOKUP(A212,'Client Master Data'!A:G,7,FALSE)="Yes",40,0)+IF(C212="Yes",10,0)</f>
        <v>20</v>
      </c>
      <c r="F212" t="str">
        <f t="shared" si="3"/>
        <v>Low</v>
      </c>
    </row>
    <row r="213" spans="1:6">
      <c r="A213">
        <v>1212</v>
      </c>
      <c r="B213" t="s">
        <v>1775</v>
      </c>
      <c r="C213" t="s">
        <v>20</v>
      </c>
      <c r="D213" t="s">
        <v>958</v>
      </c>
      <c r="E213">
        <f>IF(VLOOKUP(A213,'Client Master Data'!A:G,4,FALSE)="High",30,IF(VLOOKUP(A213,'Client Master Data'!A:G,4,FALSE)="Medium",20,10))+IF(VLOOKUP(A213,'Client Master Data'!A:G,7,FALSE)="Yes",40,0)+IF(C213="Yes",10,0)</f>
        <v>60</v>
      </c>
      <c r="F213" t="str">
        <f t="shared" si="3"/>
        <v>Medium</v>
      </c>
    </row>
    <row r="214" spans="1:6">
      <c r="A214">
        <v>1213</v>
      </c>
      <c r="B214" t="s">
        <v>1777</v>
      </c>
      <c r="C214" t="s">
        <v>14</v>
      </c>
      <c r="D214" t="s">
        <v>1046</v>
      </c>
      <c r="E214">
        <f>IF(VLOOKUP(A214,'Client Master Data'!A:G,4,FALSE)="High",30,IF(VLOOKUP(A214,'Client Master Data'!A:G,4,FALSE)="Medium",20,10))+IF(VLOOKUP(A214,'Client Master Data'!A:G,7,FALSE)="Yes",40,0)+IF(C214="Yes",10,0)</f>
        <v>50</v>
      </c>
      <c r="F214" t="str">
        <f t="shared" si="3"/>
        <v>Medium</v>
      </c>
    </row>
    <row r="215" spans="1:6">
      <c r="A215">
        <v>1214</v>
      </c>
      <c r="B215" t="s">
        <v>1776</v>
      </c>
      <c r="C215" t="s">
        <v>14</v>
      </c>
      <c r="D215" t="s">
        <v>758</v>
      </c>
      <c r="E215">
        <f>IF(VLOOKUP(A215,'Client Master Data'!A:G,4,FALSE)="High",30,IF(VLOOKUP(A215,'Client Master Data'!A:G,4,FALSE)="Medium",20,10))+IF(VLOOKUP(A215,'Client Master Data'!A:G,7,FALSE)="Yes",40,0)+IF(C215="Yes",10,0)</f>
        <v>10</v>
      </c>
      <c r="F215" t="str">
        <f t="shared" si="3"/>
        <v>Low</v>
      </c>
    </row>
    <row r="216" spans="1:6">
      <c r="A216">
        <v>1215</v>
      </c>
      <c r="B216" t="s">
        <v>1775</v>
      </c>
      <c r="C216" t="s">
        <v>14</v>
      </c>
      <c r="D216" t="s">
        <v>769</v>
      </c>
      <c r="E216">
        <f>IF(VLOOKUP(A216,'Client Master Data'!A:G,4,FALSE)="High",30,IF(VLOOKUP(A216,'Client Master Data'!A:G,4,FALSE)="Medium",20,10))+IF(VLOOKUP(A216,'Client Master Data'!A:G,7,FALSE)="Yes",40,0)+IF(C216="Yes",10,0)</f>
        <v>50</v>
      </c>
      <c r="F216" t="str">
        <f t="shared" si="3"/>
        <v>Medium</v>
      </c>
    </row>
    <row r="217" spans="1:6">
      <c r="A217">
        <v>1216</v>
      </c>
      <c r="B217" t="s">
        <v>1775</v>
      </c>
      <c r="C217" t="s">
        <v>20</v>
      </c>
      <c r="D217" t="s">
        <v>853</v>
      </c>
      <c r="E217">
        <f>IF(VLOOKUP(A217,'Client Master Data'!A:G,4,FALSE)="High",30,IF(VLOOKUP(A217,'Client Master Data'!A:G,4,FALSE)="Medium",20,10))+IF(VLOOKUP(A217,'Client Master Data'!A:G,7,FALSE)="Yes",40,0)+IF(C217="Yes",10,0)</f>
        <v>60</v>
      </c>
      <c r="F217" t="str">
        <f t="shared" si="3"/>
        <v>Medium</v>
      </c>
    </row>
    <row r="218" spans="1:6">
      <c r="A218">
        <v>1217</v>
      </c>
      <c r="B218" t="s">
        <v>1775</v>
      </c>
      <c r="C218" t="s">
        <v>14</v>
      </c>
      <c r="D218" t="s">
        <v>851</v>
      </c>
      <c r="E218">
        <f>IF(VLOOKUP(A218,'Client Master Data'!A:G,4,FALSE)="High",30,IF(VLOOKUP(A218,'Client Master Data'!A:G,4,FALSE)="Medium",20,10))+IF(VLOOKUP(A218,'Client Master Data'!A:G,7,FALSE)="Yes",40,0)+IF(C218="Yes",10,0)</f>
        <v>60</v>
      </c>
      <c r="F218" t="str">
        <f t="shared" si="3"/>
        <v>Medium</v>
      </c>
    </row>
    <row r="219" spans="1:6">
      <c r="A219">
        <v>1218</v>
      </c>
      <c r="B219" t="s">
        <v>1775</v>
      </c>
      <c r="C219" t="s">
        <v>14</v>
      </c>
      <c r="D219" t="s">
        <v>836</v>
      </c>
      <c r="E219">
        <f>IF(VLOOKUP(A219,'Client Master Data'!A:G,4,FALSE)="High",30,IF(VLOOKUP(A219,'Client Master Data'!A:G,4,FALSE)="Medium",20,10))+IF(VLOOKUP(A219,'Client Master Data'!A:G,7,FALSE)="Yes",40,0)+IF(C219="Yes",10,0)</f>
        <v>70</v>
      </c>
      <c r="F219" t="str">
        <f t="shared" si="3"/>
        <v>Medium</v>
      </c>
    </row>
    <row r="220" spans="1:6">
      <c r="A220">
        <v>1219</v>
      </c>
      <c r="B220" t="s">
        <v>1777</v>
      </c>
      <c r="C220" t="s">
        <v>20</v>
      </c>
      <c r="D220" t="s">
        <v>612</v>
      </c>
      <c r="E220">
        <f>IF(VLOOKUP(A220,'Client Master Data'!A:G,4,FALSE)="High",30,IF(VLOOKUP(A220,'Client Master Data'!A:G,4,FALSE)="Medium",20,10))+IF(VLOOKUP(A220,'Client Master Data'!A:G,7,FALSE)="Yes",40,0)+IF(C220="Yes",10,0)</f>
        <v>60</v>
      </c>
      <c r="F220" t="str">
        <f t="shared" si="3"/>
        <v>Medium</v>
      </c>
    </row>
    <row r="221" spans="1:6">
      <c r="A221">
        <v>1220</v>
      </c>
      <c r="B221" t="s">
        <v>1776</v>
      </c>
      <c r="C221" t="s">
        <v>20</v>
      </c>
      <c r="D221" t="s">
        <v>870</v>
      </c>
      <c r="E221">
        <f>IF(VLOOKUP(A221,'Client Master Data'!A:G,4,FALSE)="High",30,IF(VLOOKUP(A221,'Client Master Data'!A:G,4,FALSE)="Medium",20,10))+IF(VLOOKUP(A221,'Client Master Data'!A:G,7,FALSE)="Yes",40,0)+IF(C221="Yes",10,0)</f>
        <v>80</v>
      </c>
      <c r="F221" t="str">
        <f t="shared" si="3"/>
        <v>High</v>
      </c>
    </row>
    <row r="222" spans="1:6">
      <c r="A222">
        <v>1221</v>
      </c>
      <c r="B222" t="s">
        <v>1777</v>
      </c>
      <c r="C222" t="s">
        <v>14</v>
      </c>
      <c r="D222" t="s">
        <v>930</v>
      </c>
      <c r="E222">
        <f>IF(VLOOKUP(A222,'Client Master Data'!A:G,4,FALSE)="High",30,IF(VLOOKUP(A222,'Client Master Data'!A:G,4,FALSE)="Medium",20,10))+IF(VLOOKUP(A222,'Client Master Data'!A:G,7,FALSE)="Yes",40,0)+IF(C222="Yes",10,0)</f>
        <v>20</v>
      </c>
      <c r="F222" t="str">
        <f t="shared" si="3"/>
        <v>Low</v>
      </c>
    </row>
    <row r="223" spans="1:6">
      <c r="A223">
        <v>1222</v>
      </c>
      <c r="B223" t="s">
        <v>1775</v>
      </c>
      <c r="C223" t="s">
        <v>20</v>
      </c>
      <c r="D223" t="s">
        <v>775</v>
      </c>
      <c r="E223">
        <f>IF(VLOOKUP(A223,'Client Master Data'!A:G,4,FALSE)="High",30,IF(VLOOKUP(A223,'Client Master Data'!A:G,4,FALSE)="Medium",20,10))+IF(VLOOKUP(A223,'Client Master Data'!A:G,7,FALSE)="Yes",40,0)+IF(C223="Yes",10,0)</f>
        <v>20</v>
      </c>
      <c r="F223" t="str">
        <f t="shared" si="3"/>
        <v>Low</v>
      </c>
    </row>
    <row r="224" spans="1:6">
      <c r="A224">
        <v>1223</v>
      </c>
      <c r="B224" t="s">
        <v>1776</v>
      </c>
      <c r="C224" t="s">
        <v>14</v>
      </c>
      <c r="D224" t="s">
        <v>696</v>
      </c>
      <c r="E224">
        <f>IF(VLOOKUP(A224,'Client Master Data'!A:G,4,FALSE)="High",30,IF(VLOOKUP(A224,'Client Master Data'!A:G,4,FALSE)="Medium",20,10))+IF(VLOOKUP(A224,'Client Master Data'!A:G,7,FALSE)="Yes",40,0)+IF(C224="Yes",10,0)</f>
        <v>10</v>
      </c>
      <c r="F224" t="str">
        <f t="shared" si="3"/>
        <v>Low</v>
      </c>
    </row>
    <row r="225" spans="1:6">
      <c r="A225">
        <v>1224</v>
      </c>
      <c r="B225" t="s">
        <v>1775</v>
      </c>
      <c r="C225" t="s">
        <v>20</v>
      </c>
      <c r="D225" t="s">
        <v>625</v>
      </c>
      <c r="E225">
        <f>IF(VLOOKUP(A225,'Client Master Data'!A:G,4,FALSE)="High",30,IF(VLOOKUP(A225,'Client Master Data'!A:G,4,FALSE)="Medium",20,10))+IF(VLOOKUP(A225,'Client Master Data'!A:G,7,FALSE)="Yes",40,0)+IF(C225="Yes",10,0)</f>
        <v>60</v>
      </c>
      <c r="F225" t="str">
        <f t="shared" si="3"/>
        <v>Medium</v>
      </c>
    </row>
    <row r="226" spans="1:6">
      <c r="A226">
        <v>1225</v>
      </c>
      <c r="B226" t="s">
        <v>1777</v>
      </c>
      <c r="C226" t="s">
        <v>20</v>
      </c>
      <c r="D226" t="s">
        <v>592</v>
      </c>
      <c r="E226">
        <f>IF(VLOOKUP(A226,'Client Master Data'!A:G,4,FALSE)="High",30,IF(VLOOKUP(A226,'Client Master Data'!A:G,4,FALSE)="Medium",20,10))+IF(VLOOKUP(A226,'Client Master Data'!A:G,7,FALSE)="Yes",40,0)+IF(C226="Yes",10,0)</f>
        <v>60</v>
      </c>
      <c r="F226" t="str">
        <f t="shared" si="3"/>
        <v>Medium</v>
      </c>
    </row>
    <row r="227" spans="1:6">
      <c r="A227">
        <v>1226</v>
      </c>
      <c r="B227" t="s">
        <v>1775</v>
      </c>
      <c r="C227" t="s">
        <v>20</v>
      </c>
      <c r="D227" t="s">
        <v>762</v>
      </c>
      <c r="E227">
        <f>IF(VLOOKUP(A227,'Client Master Data'!A:G,4,FALSE)="High",30,IF(VLOOKUP(A227,'Client Master Data'!A:G,4,FALSE)="Medium",20,10))+IF(VLOOKUP(A227,'Client Master Data'!A:G,7,FALSE)="Yes",40,0)+IF(C227="Yes",10,0)</f>
        <v>80</v>
      </c>
      <c r="F227" t="str">
        <f t="shared" si="3"/>
        <v>High</v>
      </c>
    </row>
    <row r="228" spans="1:6">
      <c r="A228">
        <v>1227</v>
      </c>
      <c r="B228" t="s">
        <v>1775</v>
      </c>
      <c r="C228" t="s">
        <v>20</v>
      </c>
      <c r="D228" t="s">
        <v>792</v>
      </c>
      <c r="E228">
        <f>IF(VLOOKUP(A228,'Client Master Data'!A:G,4,FALSE)="High",30,IF(VLOOKUP(A228,'Client Master Data'!A:G,4,FALSE)="Medium",20,10))+IF(VLOOKUP(A228,'Client Master Data'!A:G,7,FALSE)="Yes",40,0)+IF(C228="Yes",10,0)</f>
        <v>20</v>
      </c>
      <c r="F228" t="str">
        <f t="shared" si="3"/>
        <v>Low</v>
      </c>
    </row>
    <row r="229" spans="1:6">
      <c r="A229">
        <v>1228</v>
      </c>
      <c r="B229" t="s">
        <v>1777</v>
      </c>
      <c r="C229" t="s">
        <v>20</v>
      </c>
      <c r="D229" t="s">
        <v>927</v>
      </c>
      <c r="E229">
        <f>IF(VLOOKUP(A229,'Client Master Data'!A:G,4,FALSE)="High",30,IF(VLOOKUP(A229,'Client Master Data'!A:G,4,FALSE)="Medium",20,10))+IF(VLOOKUP(A229,'Client Master Data'!A:G,7,FALSE)="Yes",40,0)+IF(C229="Yes",10,0)</f>
        <v>60</v>
      </c>
      <c r="F229" t="str">
        <f t="shared" si="3"/>
        <v>Medium</v>
      </c>
    </row>
    <row r="230" spans="1:6">
      <c r="A230">
        <v>1229</v>
      </c>
      <c r="B230" t="s">
        <v>1775</v>
      </c>
      <c r="C230" t="s">
        <v>20</v>
      </c>
      <c r="D230" t="s">
        <v>751</v>
      </c>
      <c r="E230">
        <f>IF(VLOOKUP(A230,'Client Master Data'!A:G,4,FALSE)="High",30,IF(VLOOKUP(A230,'Client Master Data'!A:G,4,FALSE)="Medium",20,10))+IF(VLOOKUP(A230,'Client Master Data'!A:G,7,FALSE)="Yes",40,0)+IF(C230="Yes",10,0)</f>
        <v>20</v>
      </c>
      <c r="F230" t="str">
        <f t="shared" si="3"/>
        <v>Low</v>
      </c>
    </row>
    <row r="231" spans="1:6">
      <c r="A231">
        <v>1230</v>
      </c>
      <c r="B231" t="s">
        <v>1777</v>
      </c>
      <c r="C231" t="s">
        <v>20</v>
      </c>
      <c r="D231" t="s">
        <v>927</v>
      </c>
      <c r="E231">
        <f>IF(VLOOKUP(A231,'Client Master Data'!A:G,4,FALSE)="High",30,IF(VLOOKUP(A231,'Client Master Data'!A:G,4,FALSE)="Medium",20,10))+IF(VLOOKUP(A231,'Client Master Data'!A:G,7,FALSE)="Yes",40,0)+IF(C231="Yes",10,0)</f>
        <v>40</v>
      </c>
      <c r="F231" t="str">
        <f t="shared" si="3"/>
        <v>Medium</v>
      </c>
    </row>
    <row r="232" spans="1:6">
      <c r="A232">
        <v>1231</v>
      </c>
      <c r="B232" t="s">
        <v>1777</v>
      </c>
      <c r="C232" t="s">
        <v>14</v>
      </c>
      <c r="D232" t="s">
        <v>973</v>
      </c>
      <c r="E232">
        <f>IF(VLOOKUP(A232,'Client Master Data'!A:G,4,FALSE)="High",30,IF(VLOOKUP(A232,'Client Master Data'!A:G,4,FALSE)="Medium",20,10))+IF(VLOOKUP(A232,'Client Master Data'!A:G,7,FALSE)="Yes",40,0)+IF(C232="Yes",10,0)</f>
        <v>10</v>
      </c>
      <c r="F232" t="str">
        <f t="shared" si="3"/>
        <v>Low</v>
      </c>
    </row>
    <row r="233" spans="1:6">
      <c r="A233">
        <v>1232</v>
      </c>
      <c r="B233" t="s">
        <v>1777</v>
      </c>
      <c r="C233" t="s">
        <v>14</v>
      </c>
      <c r="D233" t="s">
        <v>1735</v>
      </c>
      <c r="E233">
        <f>IF(VLOOKUP(A233,'Client Master Data'!A:G,4,FALSE)="High",30,IF(VLOOKUP(A233,'Client Master Data'!A:G,4,FALSE)="Medium",20,10))+IF(VLOOKUP(A233,'Client Master Data'!A:G,7,FALSE)="Yes",40,0)+IF(C233="Yes",10,0)</f>
        <v>30</v>
      </c>
      <c r="F233" t="str">
        <f t="shared" si="3"/>
        <v>Low</v>
      </c>
    </row>
    <row r="234" spans="1:6">
      <c r="A234">
        <v>1233</v>
      </c>
      <c r="B234" t="s">
        <v>1777</v>
      </c>
      <c r="C234" t="s">
        <v>14</v>
      </c>
      <c r="D234" t="s">
        <v>948</v>
      </c>
      <c r="E234">
        <f>IF(VLOOKUP(A234,'Client Master Data'!A:G,4,FALSE)="High",30,IF(VLOOKUP(A234,'Client Master Data'!A:G,4,FALSE)="Medium",20,10))+IF(VLOOKUP(A234,'Client Master Data'!A:G,7,FALSE)="Yes",40,0)+IF(C234="Yes",10,0)</f>
        <v>10</v>
      </c>
      <c r="F234" t="str">
        <f t="shared" si="3"/>
        <v>Low</v>
      </c>
    </row>
    <row r="235" spans="1:6">
      <c r="A235">
        <v>1234</v>
      </c>
      <c r="B235" t="s">
        <v>1775</v>
      </c>
      <c r="C235" t="s">
        <v>20</v>
      </c>
      <c r="D235" t="s">
        <v>723</v>
      </c>
      <c r="E235">
        <f>IF(VLOOKUP(A235,'Client Master Data'!A:G,4,FALSE)="High",30,IF(VLOOKUP(A235,'Client Master Data'!A:G,4,FALSE)="Medium",20,10))+IF(VLOOKUP(A235,'Client Master Data'!A:G,7,FALSE)="Yes",40,0)+IF(C235="Yes",10,0)</f>
        <v>60</v>
      </c>
      <c r="F235" t="str">
        <f t="shared" si="3"/>
        <v>Medium</v>
      </c>
    </row>
    <row r="236" spans="1:6">
      <c r="A236">
        <v>1235</v>
      </c>
      <c r="B236" t="s">
        <v>1776</v>
      </c>
      <c r="C236" t="s">
        <v>20</v>
      </c>
      <c r="D236" t="s">
        <v>964</v>
      </c>
      <c r="E236">
        <f>IF(VLOOKUP(A236,'Client Master Data'!A:G,4,FALSE)="High",30,IF(VLOOKUP(A236,'Client Master Data'!A:G,4,FALSE)="Medium",20,10))+IF(VLOOKUP(A236,'Client Master Data'!A:G,7,FALSE)="Yes",40,0)+IF(C236="Yes",10,0)</f>
        <v>20</v>
      </c>
      <c r="F236" t="str">
        <f t="shared" si="3"/>
        <v>Low</v>
      </c>
    </row>
    <row r="237" spans="1:6">
      <c r="A237">
        <v>1236</v>
      </c>
      <c r="B237" t="s">
        <v>1777</v>
      </c>
      <c r="C237" t="s">
        <v>14</v>
      </c>
      <c r="D237" t="s">
        <v>729</v>
      </c>
      <c r="E237">
        <f>IF(VLOOKUP(A237,'Client Master Data'!A:G,4,FALSE)="High",30,IF(VLOOKUP(A237,'Client Master Data'!A:G,4,FALSE)="Medium",20,10))+IF(VLOOKUP(A237,'Client Master Data'!A:G,7,FALSE)="Yes",40,0)+IF(C237="Yes",10,0)</f>
        <v>30</v>
      </c>
      <c r="F237" t="str">
        <f t="shared" si="3"/>
        <v>Low</v>
      </c>
    </row>
    <row r="238" spans="1:6">
      <c r="A238">
        <v>1237</v>
      </c>
      <c r="B238" t="s">
        <v>1777</v>
      </c>
      <c r="C238" t="s">
        <v>14</v>
      </c>
      <c r="D238" t="s">
        <v>623</v>
      </c>
      <c r="E238">
        <f>IF(VLOOKUP(A238,'Client Master Data'!A:G,4,FALSE)="High",30,IF(VLOOKUP(A238,'Client Master Data'!A:G,4,FALSE)="Medium",20,10))+IF(VLOOKUP(A238,'Client Master Data'!A:G,7,FALSE)="Yes",40,0)+IF(C238="Yes",10,0)</f>
        <v>70</v>
      </c>
      <c r="F238" t="str">
        <f t="shared" si="3"/>
        <v>Medium</v>
      </c>
    </row>
    <row r="239" spans="1:6">
      <c r="A239">
        <v>1238</v>
      </c>
      <c r="B239" t="s">
        <v>1776</v>
      </c>
      <c r="C239" t="s">
        <v>14</v>
      </c>
      <c r="D239" t="s">
        <v>666</v>
      </c>
      <c r="E239">
        <f>IF(VLOOKUP(A239,'Client Master Data'!A:G,4,FALSE)="High",30,IF(VLOOKUP(A239,'Client Master Data'!A:G,4,FALSE)="Medium",20,10))+IF(VLOOKUP(A239,'Client Master Data'!A:G,7,FALSE)="Yes",40,0)+IF(C239="Yes",10,0)</f>
        <v>30</v>
      </c>
      <c r="F239" t="str">
        <f t="shared" si="3"/>
        <v>Low</v>
      </c>
    </row>
    <row r="240" spans="1:6">
      <c r="A240">
        <v>1239</v>
      </c>
      <c r="B240" t="s">
        <v>1775</v>
      </c>
      <c r="C240" t="s">
        <v>20</v>
      </c>
      <c r="D240" t="s">
        <v>987</v>
      </c>
      <c r="E240">
        <f>IF(VLOOKUP(A240,'Client Master Data'!A:G,4,FALSE)="High",30,IF(VLOOKUP(A240,'Client Master Data'!A:G,4,FALSE)="Medium",20,10))+IF(VLOOKUP(A240,'Client Master Data'!A:G,7,FALSE)="Yes",40,0)+IF(C240="Yes",10,0)</f>
        <v>80</v>
      </c>
      <c r="F240" t="str">
        <f t="shared" si="3"/>
        <v>High</v>
      </c>
    </row>
    <row r="241" spans="1:6">
      <c r="A241">
        <v>1240</v>
      </c>
      <c r="B241" t="s">
        <v>1775</v>
      </c>
      <c r="C241" t="s">
        <v>20</v>
      </c>
      <c r="D241" t="s">
        <v>760</v>
      </c>
      <c r="E241">
        <f>IF(VLOOKUP(A241,'Client Master Data'!A:G,4,FALSE)="High",30,IF(VLOOKUP(A241,'Client Master Data'!A:G,4,FALSE)="Medium",20,10))+IF(VLOOKUP(A241,'Client Master Data'!A:G,7,FALSE)="Yes",40,0)+IF(C241="Yes",10,0)</f>
        <v>80</v>
      </c>
      <c r="F241" t="str">
        <f t="shared" si="3"/>
        <v>High</v>
      </c>
    </row>
    <row r="242" spans="1:6">
      <c r="A242">
        <v>1241</v>
      </c>
      <c r="B242" t="s">
        <v>1775</v>
      </c>
      <c r="C242" t="s">
        <v>14</v>
      </c>
      <c r="D242" t="s">
        <v>658</v>
      </c>
      <c r="E242">
        <f>IF(VLOOKUP(A242,'Client Master Data'!A:G,4,FALSE)="High",30,IF(VLOOKUP(A242,'Client Master Data'!A:G,4,FALSE)="Medium",20,10))+IF(VLOOKUP(A242,'Client Master Data'!A:G,7,FALSE)="Yes",40,0)+IF(C242="Yes",10,0)</f>
        <v>10</v>
      </c>
      <c r="F242" t="str">
        <f t="shared" si="3"/>
        <v>Low</v>
      </c>
    </row>
    <row r="243" spans="1:6">
      <c r="A243">
        <v>1242</v>
      </c>
      <c r="B243" t="s">
        <v>1777</v>
      </c>
      <c r="C243" t="s">
        <v>14</v>
      </c>
      <c r="D243" t="s">
        <v>640</v>
      </c>
      <c r="E243">
        <f>IF(VLOOKUP(A243,'Client Master Data'!A:G,4,FALSE)="High",30,IF(VLOOKUP(A243,'Client Master Data'!A:G,4,FALSE)="Medium",20,10))+IF(VLOOKUP(A243,'Client Master Data'!A:G,7,FALSE)="Yes",40,0)+IF(C243="Yes",10,0)</f>
        <v>60</v>
      </c>
      <c r="F243" t="str">
        <f t="shared" si="3"/>
        <v>Medium</v>
      </c>
    </row>
    <row r="244" spans="1:6">
      <c r="A244">
        <v>1243</v>
      </c>
      <c r="B244" t="s">
        <v>1776</v>
      </c>
      <c r="C244" t="s">
        <v>20</v>
      </c>
      <c r="D244" t="s">
        <v>1056</v>
      </c>
      <c r="E244">
        <f>IF(VLOOKUP(A244,'Client Master Data'!A:G,4,FALSE)="High",30,IF(VLOOKUP(A244,'Client Master Data'!A:G,4,FALSE)="Medium",20,10))+IF(VLOOKUP(A244,'Client Master Data'!A:G,7,FALSE)="Yes",40,0)+IF(C244="Yes",10,0)</f>
        <v>60</v>
      </c>
      <c r="F244" t="str">
        <f t="shared" si="3"/>
        <v>Medium</v>
      </c>
    </row>
    <row r="245" spans="1:6">
      <c r="A245">
        <v>1244</v>
      </c>
      <c r="B245" t="s">
        <v>1776</v>
      </c>
      <c r="C245" t="s">
        <v>14</v>
      </c>
      <c r="D245" t="s">
        <v>775</v>
      </c>
      <c r="E245">
        <f>IF(VLOOKUP(A245,'Client Master Data'!A:G,4,FALSE)="High",30,IF(VLOOKUP(A245,'Client Master Data'!A:G,4,FALSE)="Medium",20,10))+IF(VLOOKUP(A245,'Client Master Data'!A:G,7,FALSE)="Yes",40,0)+IF(C245="Yes",10,0)</f>
        <v>10</v>
      </c>
      <c r="F245" t="str">
        <f t="shared" si="3"/>
        <v>Low</v>
      </c>
    </row>
    <row r="246" spans="1:6">
      <c r="A246">
        <v>1245</v>
      </c>
      <c r="B246" t="s">
        <v>1776</v>
      </c>
      <c r="C246" t="s">
        <v>20</v>
      </c>
      <c r="D246" t="s">
        <v>820</v>
      </c>
      <c r="E246">
        <f>IF(VLOOKUP(A246,'Client Master Data'!A:G,4,FALSE)="High",30,IF(VLOOKUP(A246,'Client Master Data'!A:G,4,FALSE)="Medium",20,10))+IF(VLOOKUP(A246,'Client Master Data'!A:G,7,FALSE)="Yes",40,0)+IF(C246="Yes",10,0)</f>
        <v>40</v>
      </c>
      <c r="F246" t="str">
        <f t="shared" si="3"/>
        <v>Medium</v>
      </c>
    </row>
    <row r="247" spans="1:6">
      <c r="A247">
        <v>1246</v>
      </c>
      <c r="B247" t="s">
        <v>1776</v>
      </c>
      <c r="C247" t="s">
        <v>14</v>
      </c>
      <c r="D247" t="s">
        <v>836</v>
      </c>
      <c r="E247">
        <f>IF(VLOOKUP(A247,'Client Master Data'!A:G,4,FALSE)="High",30,IF(VLOOKUP(A247,'Client Master Data'!A:G,4,FALSE)="Medium",20,10))+IF(VLOOKUP(A247,'Client Master Data'!A:G,7,FALSE)="Yes",40,0)+IF(C247="Yes",10,0)</f>
        <v>50</v>
      </c>
      <c r="F247" t="str">
        <f t="shared" si="3"/>
        <v>Medium</v>
      </c>
    </row>
    <row r="248" spans="1:6">
      <c r="A248">
        <v>1247</v>
      </c>
      <c r="B248" t="s">
        <v>1777</v>
      </c>
      <c r="C248" t="s">
        <v>14</v>
      </c>
      <c r="D248" t="s">
        <v>723</v>
      </c>
      <c r="E248">
        <f>IF(VLOOKUP(A248,'Client Master Data'!A:G,4,FALSE)="High",30,IF(VLOOKUP(A248,'Client Master Data'!A:G,4,FALSE)="Medium",20,10))+IF(VLOOKUP(A248,'Client Master Data'!A:G,7,FALSE)="Yes",40,0)+IF(C248="Yes",10,0)</f>
        <v>70</v>
      </c>
      <c r="F248" t="str">
        <f t="shared" si="3"/>
        <v>Medium</v>
      </c>
    </row>
    <row r="249" spans="1:6">
      <c r="A249">
        <v>1248</v>
      </c>
      <c r="B249" t="s">
        <v>1775</v>
      </c>
      <c r="C249" t="s">
        <v>20</v>
      </c>
      <c r="D249" t="s">
        <v>856</v>
      </c>
      <c r="E249">
        <f>IF(VLOOKUP(A249,'Client Master Data'!A:G,4,FALSE)="High",30,IF(VLOOKUP(A249,'Client Master Data'!A:G,4,FALSE)="Medium",20,10))+IF(VLOOKUP(A249,'Client Master Data'!A:G,7,FALSE)="Yes",40,0)+IF(C249="Yes",10,0)</f>
        <v>60</v>
      </c>
      <c r="F249" t="str">
        <f t="shared" si="3"/>
        <v>Medium</v>
      </c>
    </row>
    <row r="250" spans="1:6">
      <c r="A250">
        <v>1249</v>
      </c>
      <c r="B250" t="s">
        <v>1777</v>
      </c>
      <c r="C250" t="s">
        <v>20</v>
      </c>
      <c r="D250" t="s">
        <v>915</v>
      </c>
      <c r="E250">
        <f>IF(VLOOKUP(A250,'Client Master Data'!A:G,4,FALSE)="High",30,IF(VLOOKUP(A250,'Client Master Data'!A:G,4,FALSE)="Medium",20,10))+IF(VLOOKUP(A250,'Client Master Data'!A:G,7,FALSE)="Yes",40,0)+IF(C250="Yes",10,0)</f>
        <v>20</v>
      </c>
      <c r="F250" t="str">
        <f t="shared" si="3"/>
        <v>Low</v>
      </c>
    </row>
    <row r="251" spans="1:6">
      <c r="A251">
        <v>1250</v>
      </c>
      <c r="B251" t="s">
        <v>1777</v>
      </c>
      <c r="C251" t="s">
        <v>14</v>
      </c>
      <c r="D251" t="s">
        <v>698</v>
      </c>
      <c r="E251">
        <f>IF(VLOOKUP(A251,'Client Master Data'!A:G,4,FALSE)="High",30,IF(VLOOKUP(A251,'Client Master Data'!A:G,4,FALSE)="Medium",20,10))+IF(VLOOKUP(A251,'Client Master Data'!A:G,7,FALSE)="Yes",40,0)+IF(C251="Yes",10,0)</f>
        <v>60</v>
      </c>
      <c r="F251" t="str">
        <f t="shared" si="3"/>
        <v>Medium</v>
      </c>
    </row>
    <row r="252" spans="1:6">
      <c r="A252">
        <v>1251</v>
      </c>
      <c r="B252" t="s">
        <v>1777</v>
      </c>
      <c r="C252" t="s">
        <v>14</v>
      </c>
      <c r="D252" t="s">
        <v>1033</v>
      </c>
      <c r="E252">
        <f>IF(VLOOKUP(A252,'Client Master Data'!A:G,4,FALSE)="High",30,IF(VLOOKUP(A252,'Client Master Data'!A:G,4,FALSE)="Medium",20,10))+IF(VLOOKUP(A252,'Client Master Data'!A:G,7,FALSE)="Yes",40,0)+IF(C252="Yes",10,0)</f>
        <v>10</v>
      </c>
      <c r="F252" t="str">
        <f t="shared" si="3"/>
        <v>Low</v>
      </c>
    </row>
    <row r="253" spans="1:6">
      <c r="A253">
        <v>1252</v>
      </c>
      <c r="B253" t="s">
        <v>1777</v>
      </c>
      <c r="C253" t="s">
        <v>14</v>
      </c>
      <c r="D253" t="s">
        <v>987</v>
      </c>
      <c r="E253">
        <f>IF(VLOOKUP(A253,'Client Master Data'!A:G,4,FALSE)="High",30,IF(VLOOKUP(A253,'Client Master Data'!A:G,4,FALSE)="Medium",20,10))+IF(VLOOKUP(A253,'Client Master Data'!A:G,7,FALSE)="Yes",40,0)+IF(C253="Yes",10,0)</f>
        <v>60</v>
      </c>
      <c r="F253" t="str">
        <f t="shared" si="3"/>
        <v>Medium</v>
      </c>
    </row>
    <row r="254" spans="1:6">
      <c r="A254">
        <v>1253</v>
      </c>
      <c r="B254" t="s">
        <v>1776</v>
      </c>
      <c r="C254" t="s">
        <v>20</v>
      </c>
      <c r="D254" t="s">
        <v>1179</v>
      </c>
      <c r="E254">
        <f>IF(VLOOKUP(A254,'Client Master Data'!A:G,4,FALSE)="High",30,IF(VLOOKUP(A254,'Client Master Data'!A:G,4,FALSE)="Medium",20,10))+IF(VLOOKUP(A254,'Client Master Data'!A:G,7,FALSE)="Yes",40,0)+IF(C254="Yes",10,0)</f>
        <v>20</v>
      </c>
      <c r="F254" t="str">
        <f t="shared" si="3"/>
        <v>Low</v>
      </c>
    </row>
    <row r="255" spans="1:6">
      <c r="A255">
        <v>1254</v>
      </c>
      <c r="B255" t="s">
        <v>1775</v>
      </c>
      <c r="C255" t="s">
        <v>20</v>
      </c>
      <c r="D255" t="s">
        <v>700</v>
      </c>
      <c r="E255">
        <f>IF(VLOOKUP(A255,'Client Master Data'!A:G,4,FALSE)="High",30,IF(VLOOKUP(A255,'Client Master Data'!A:G,4,FALSE)="Medium",20,10))+IF(VLOOKUP(A255,'Client Master Data'!A:G,7,FALSE)="Yes",40,0)+IF(C255="Yes",10,0)</f>
        <v>60</v>
      </c>
      <c r="F255" t="str">
        <f t="shared" si="3"/>
        <v>Medium</v>
      </c>
    </row>
    <row r="256" spans="1:6">
      <c r="A256">
        <v>1255</v>
      </c>
      <c r="B256" t="s">
        <v>1777</v>
      </c>
      <c r="C256" t="s">
        <v>14</v>
      </c>
      <c r="D256" t="s">
        <v>876</v>
      </c>
      <c r="E256">
        <f>IF(VLOOKUP(A256,'Client Master Data'!A:G,4,FALSE)="High",30,IF(VLOOKUP(A256,'Client Master Data'!A:G,4,FALSE)="Medium",20,10))+IF(VLOOKUP(A256,'Client Master Data'!A:G,7,FALSE)="Yes",40,0)+IF(C256="Yes",10,0)</f>
        <v>70</v>
      </c>
      <c r="F256" t="str">
        <f t="shared" si="3"/>
        <v>Medium</v>
      </c>
    </row>
    <row r="257" spans="1:6">
      <c r="A257">
        <v>1256</v>
      </c>
      <c r="B257" t="s">
        <v>1776</v>
      </c>
      <c r="C257" t="s">
        <v>14</v>
      </c>
      <c r="D257" t="s">
        <v>685</v>
      </c>
      <c r="E257">
        <f>IF(VLOOKUP(A257,'Client Master Data'!A:G,4,FALSE)="High",30,IF(VLOOKUP(A257,'Client Master Data'!A:G,4,FALSE)="Medium",20,10))+IF(VLOOKUP(A257,'Client Master Data'!A:G,7,FALSE)="Yes",40,0)+IF(C257="Yes",10,0)</f>
        <v>50</v>
      </c>
      <c r="F257" t="str">
        <f t="shared" si="3"/>
        <v>Medium</v>
      </c>
    </row>
    <row r="258" spans="1:6">
      <c r="A258">
        <v>1257</v>
      </c>
      <c r="B258" t="s">
        <v>1776</v>
      </c>
      <c r="C258" t="s">
        <v>14</v>
      </c>
      <c r="D258" t="s">
        <v>669</v>
      </c>
      <c r="E258">
        <f>IF(VLOOKUP(A258,'Client Master Data'!A:G,4,FALSE)="High",30,IF(VLOOKUP(A258,'Client Master Data'!A:G,4,FALSE)="Medium",20,10))+IF(VLOOKUP(A258,'Client Master Data'!A:G,7,FALSE)="Yes",40,0)+IF(C258="Yes",10,0)</f>
        <v>50</v>
      </c>
      <c r="F258" t="str">
        <f t="shared" ref="F258:F321" si="4">IF(E258&lt;=30,"Low",IF(E258&lt;=70,"Medium","High"))</f>
        <v>Medium</v>
      </c>
    </row>
    <row r="259" spans="1:6">
      <c r="A259">
        <v>1258</v>
      </c>
      <c r="B259" t="s">
        <v>1775</v>
      </c>
      <c r="C259" t="s">
        <v>14</v>
      </c>
      <c r="D259" t="s">
        <v>989</v>
      </c>
      <c r="E259">
        <f>IF(VLOOKUP(A259,'Client Master Data'!A:G,4,FALSE)="High",30,IF(VLOOKUP(A259,'Client Master Data'!A:G,4,FALSE)="Medium",20,10))+IF(VLOOKUP(A259,'Client Master Data'!A:G,7,FALSE)="Yes",40,0)+IF(C259="Yes",10,0)</f>
        <v>50</v>
      </c>
      <c r="F259" t="str">
        <f t="shared" si="4"/>
        <v>Medium</v>
      </c>
    </row>
    <row r="260" spans="1:6">
      <c r="A260">
        <v>1259</v>
      </c>
      <c r="B260" t="s">
        <v>1777</v>
      </c>
      <c r="C260" t="s">
        <v>20</v>
      </c>
      <c r="D260" t="s">
        <v>700</v>
      </c>
      <c r="E260">
        <f>IF(VLOOKUP(A260,'Client Master Data'!A:G,4,FALSE)="High",30,IF(VLOOKUP(A260,'Client Master Data'!A:G,4,FALSE)="Medium",20,10))+IF(VLOOKUP(A260,'Client Master Data'!A:G,7,FALSE)="Yes",40,0)+IF(C260="Yes",10,0)</f>
        <v>60</v>
      </c>
      <c r="F260" t="str">
        <f t="shared" si="4"/>
        <v>Medium</v>
      </c>
    </row>
    <row r="261" spans="1:6">
      <c r="A261">
        <v>1260</v>
      </c>
      <c r="B261" t="s">
        <v>1775</v>
      </c>
      <c r="C261" t="s">
        <v>20</v>
      </c>
      <c r="D261" t="s">
        <v>658</v>
      </c>
      <c r="E261">
        <f>IF(VLOOKUP(A261,'Client Master Data'!A:G,4,FALSE)="High",30,IF(VLOOKUP(A261,'Client Master Data'!A:G,4,FALSE)="Medium",20,10))+IF(VLOOKUP(A261,'Client Master Data'!A:G,7,FALSE)="Yes",40,0)+IF(C261="Yes",10,0)</f>
        <v>20</v>
      </c>
      <c r="F261" t="str">
        <f t="shared" si="4"/>
        <v>Low</v>
      </c>
    </row>
    <row r="262" spans="1:6">
      <c r="A262">
        <v>1261</v>
      </c>
      <c r="B262" t="s">
        <v>1775</v>
      </c>
      <c r="C262" t="s">
        <v>20</v>
      </c>
      <c r="D262" t="s">
        <v>878</v>
      </c>
      <c r="E262">
        <f>IF(VLOOKUP(A262,'Client Master Data'!A:G,4,FALSE)="High",30,IF(VLOOKUP(A262,'Client Master Data'!A:G,4,FALSE)="Medium",20,10))+IF(VLOOKUP(A262,'Client Master Data'!A:G,7,FALSE)="Yes",40,0)+IF(C262="Yes",10,0)</f>
        <v>70</v>
      </c>
      <c r="F262" t="str">
        <f t="shared" si="4"/>
        <v>Medium</v>
      </c>
    </row>
    <row r="263" spans="1:6">
      <c r="A263">
        <v>1262</v>
      </c>
      <c r="B263" t="s">
        <v>1776</v>
      </c>
      <c r="C263" t="s">
        <v>14</v>
      </c>
      <c r="D263" t="s">
        <v>740</v>
      </c>
      <c r="E263">
        <f>IF(VLOOKUP(A263,'Client Master Data'!A:G,4,FALSE)="High",30,IF(VLOOKUP(A263,'Client Master Data'!A:G,4,FALSE)="Medium",20,10))+IF(VLOOKUP(A263,'Client Master Data'!A:G,7,FALSE)="Yes",40,0)+IF(C263="Yes",10,0)</f>
        <v>50</v>
      </c>
      <c r="F263" t="str">
        <f t="shared" si="4"/>
        <v>Medium</v>
      </c>
    </row>
    <row r="264" spans="1:6">
      <c r="A264">
        <v>1263</v>
      </c>
      <c r="B264" t="s">
        <v>1775</v>
      </c>
      <c r="C264" t="s">
        <v>14</v>
      </c>
      <c r="D264" t="s">
        <v>587</v>
      </c>
      <c r="E264">
        <f>IF(VLOOKUP(A264,'Client Master Data'!A:G,4,FALSE)="High",30,IF(VLOOKUP(A264,'Client Master Data'!A:G,4,FALSE)="Medium",20,10))+IF(VLOOKUP(A264,'Client Master Data'!A:G,7,FALSE)="Yes",40,0)+IF(C264="Yes",10,0)</f>
        <v>10</v>
      </c>
      <c r="F264" t="str">
        <f t="shared" si="4"/>
        <v>Low</v>
      </c>
    </row>
    <row r="265" spans="1:6">
      <c r="A265">
        <v>1264</v>
      </c>
      <c r="B265" t="s">
        <v>1777</v>
      </c>
      <c r="C265" t="s">
        <v>20</v>
      </c>
      <c r="D265" t="s">
        <v>678</v>
      </c>
      <c r="E265">
        <f>IF(VLOOKUP(A265,'Client Master Data'!A:G,4,FALSE)="High",30,IF(VLOOKUP(A265,'Client Master Data'!A:G,4,FALSE)="Medium",20,10))+IF(VLOOKUP(A265,'Client Master Data'!A:G,7,FALSE)="Yes",40,0)+IF(C265="Yes",10,0)</f>
        <v>20</v>
      </c>
      <c r="F265" t="str">
        <f t="shared" si="4"/>
        <v>Low</v>
      </c>
    </row>
    <row r="266" spans="1:6">
      <c r="A266">
        <v>1265</v>
      </c>
      <c r="B266" t="s">
        <v>1775</v>
      </c>
      <c r="C266" t="s">
        <v>20</v>
      </c>
      <c r="D266" t="s">
        <v>610</v>
      </c>
      <c r="E266">
        <f>IF(VLOOKUP(A266,'Client Master Data'!A:G,4,FALSE)="High",30,IF(VLOOKUP(A266,'Client Master Data'!A:G,4,FALSE)="Medium",20,10))+IF(VLOOKUP(A266,'Client Master Data'!A:G,7,FALSE)="Yes",40,0)+IF(C266="Yes",10,0)</f>
        <v>20</v>
      </c>
      <c r="F266" t="str">
        <f t="shared" si="4"/>
        <v>Low</v>
      </c>
    </row>
    <row r="267" spans="1:6">
      <c r="A267">
        <v>1266</v>
      </c>
      <c r="B267" t="s">
        <v>1777</v>
      </c>
      <c r="C267" t="s">
        <v>20</v>
      </c>
      <c r="D267" t="s">
        <v>758</v>
      </c>
      <c r="E267">
        <f>IF(VLOOKUP(A267,'Client Master Data'!A:G,4,FALSE)="High",30,IF(VLOOKUP(A267,'Client Master Data'!A:G,4,FALSE)="Medium",20,10))+IF(VLOOKUP(A267,'Client Master Data'!A:G,7,FALSE)="Yes",40,0)+IF(C267="Yes",10,0)</f>
        <v>60</v>
      </c>
      <c r="F267" t="str">
        <f t="shared" si="4"/>
        <v>Medium</v>
      </c>
    </row>
    <row r="268" spans="1:6">
      <c r="A268">
        <v>1267</v>
      </c>
      <c r="B268" t="s">
        <v>1776</v>
      </c>
      <c r="C268" t="s">
        <v>14</v>
      </c>
      <c r="D268" t="s">
        <v>1025</v>
      </c>
      <c r="E268">
        <f>IF(VLOOKUP(A268,'Client Master Data'!A:G,4,FALSE)="High",30,IF(VLOOKUP(A268,'Client Master Data'!A:G,4,FALSE)="Medium",20,10))+IF(VLOOKUP(A268,'Client Master Data'!A:G,7,FALSE)="Yes",40,0)+IF(C268="Yes",10,0)</f>
        <v>30</v>
      </c>
      <c r="F268" t="str">
        <f t="shared" si="4"/>
        <v>Low</v>
      </c>
    </row>
    <row r="269" spans="1:6">
      <c r="A269">
        <v>1268</v>
      </c>
      <c r="B269" t="s">
        <v>1775</v>
      </c>
      <c r="C269" t="s">
        <v>20</v>
      </c>
      <c r="D269" t="s">
        <v>973</v>
      </c>
      <c r="E269">
        <f>IF(VLOOKUP(A269,'Client Master Data'!A:G,4,FALSE)="High",30,IF(VLOOKUP(A269,'Client Master Data'!A:G,4,FALSE)="Medium",20,10))+IF(VLOOKUP(A269,'Client Master Data'!A:G,7,FALSE)="Yes",40,0)+IF(C269="Yes",10,0)</f>
        <v>40</v>
      </c>
      <c r="F269" t="str">
        <f t="shared" si="4"/>
        <v>Medium</v>
      </c>
    </row>
    <row r="270" spans="1:6">
      <c r="A270">
        <v>1269</v>
      </c>
      <c r="B270" t="s">
        <v>1775</v>
      </c>
      <c r="C270" t="s">
        <v>14</v>
      </c>
      <c r="D270" t="s">
        <v>1056</v>
      </c>
      <c r="E270">
        <f>IF(VLOOKUP(A270,'Client Master Data'!A:G,4,FALSE)="High",30,IF(VLOOKUP(A270,'Client Master Data'!A:G,4,FALSE)="Medium",20,10))+IF(VLOOKUP(A270,'Client Master Data'!A:G,7,FALSE)="Yes",40,0)+IF(C270="Yes",10,0)</f>
        <v>70</v>
      </c>
      <c r="F270" t="str">
        <f t="shared" si="4"/>
        <v>Medium</v>
      </c>
    </row>
    <row r="271" spans="1:6">
      <c r="A271">
        <v>1270</v>
      </c>
      <c r="B271" t="s">
        <v>1777</v>
      </c>
      <c r="C271" t="s">
        <v>14</v>
      </c>
      <c r="D271" t="s">
        <v>1194</v>
      </c>
      <c r="E271">
        <f>IF(VLOOKUP(A271,'Client Master Data'!A:G,4,FALSE)="High",30,IF(VLOOKUP(A271,'Client Master Data'!A:G,4,FALSE)="Medium",20,10))+IF(VLOOKUP(A271,'Client Master Data'!A:G,7,FALSE)="Yes",40,0)+IF(C271="Yes",10,0)</f>
        <v>70</v>
      </c>
      <c r="F271" t="str">
        <f t="shared" si="4"/>
        <v>Medium</v>
      </c>
    </row>
    <row r="272" spans="1:6">
      <c r="A272">
        <v>1271</v>
      </c>
      <c r="B272" t="s">
        <v>1775</v>
      </c>
      <c r="C272" t="s">
        <v>20</v>
      </c>
      <c r="D272" t="s">
        <v>915</v>
      </c>
      <c r="E272">
        <f>IF(VLOOKUP(A272,'Client Master Data'!A:G,4,FALSE)="High",30,IF(VLOOKUP(A272,'Client Master Data'!A:G,4,FALSE)="Medium",20,10))+IF(VLOOKUP(A272,'Client Master Data'!A:G,7,FALSE)="Yes",40,0)+IF(C272="Yes",10,0)</f>
        <v>70</v>
      </c>
      <c r="F272" t="str">
        <f t="shared" si="4"/>
        <v>Medium</v>
      </c>
    </row>
    <row r="273" spans="1:6">
      <c r="A273">
        <v>1272</v>
      </c>
      <c r="B273" t="s">
        <v>1775</v>
      </c>
      <c r="C273" t="s">
        <v>14</v>
      </c>
      <c r="D273" t="s">
        <v>1031</v>
      </c>
      <c r="E273">
        <f>IF(VLOOKUP(A273,'Client Master Data'!A:G,4,FALSE)="High",30,IF(VLOOKUP(A273,'Client Master Data'!A:G,4,FALSE)="Medium",20,10))+IF(VLOOKUP(A273,'Client Master Data'!A:G,7,FALSE)="Yes",40,0)+IF(C273="Yes",10,0)</f>
        <v>50</v>
      </c>
      <c r="F273" t="str">
        <f t="shared" si="4"/>
        <v>Medium</v>
      </c>
    </row>
    <row r="274" spans="1:6">
      <c r="A274">
        <v>1273</v>
      </c>
      <c r="B274" t="s">
        <v>1776</v>
      </c>
      <c r="C274" t="s">
        <v>20</v>
      </c>
      <c r="D274" t="s">
        <v>678</v>
      </c>
      <c r="E274">
        <f>IF(VLOOKUP(A274,'Client Master Data'!A:G,4,FALSE)="High",30,IF(VLOOKUP(A274,'Client Master Data'!A:G,4,FALSE)="Medium",20,10))+IF(VLOOKUP(A274,'Client Master Data'!A:G,7,FALSE)="Yes",40,0)+IF(C274="Yes",10,0)</f>
        <v>20</v>
      </c>
      <c r="F274" t="str">
        <f t="shared" si="4"/>
        <v>Low</v>
      </c>
    </row>
    <row r="275" spans="1:6">
      <c r="A275">
        <v>1274</v>
      </c>
      <c r="B275" t="s">
        <v>1776</v>
      </c>
      <c r="C275" t="s">
        <v>20</v>
      </c>
      <c r="D275" t="s">
        <v>633</v>
      </c>
      <c r="E275">
        <f>IF(VLOOKUP(A275,'Client Master Data'!A:G,4,FALSE)="High",30,IF(VLOOKUP(A275,'Client Master Data'!A:G,4,FALSE)="Medium",20,10))+IF(VLOOKUP(A275,'Client Master Data'!A:G,7,FALSE)="Yes",40,0)+IF(C275="Yes",10,0)</f>
        <v>60</v>
      </c>
      <c r="F275" t="str">
        <f t="shared" si="4"/>
        <v>Medium</v>
      </c>
    </row>
    <row r="276" spans="1:6">
      <c r="A276">
        <v>1275</v>
      </c>
      <c r="B276" t="s">
        <v>1776</v>
      </c>
      <c r="C276" t="s">
        <v>20</v>
      </c>
      <c r="D276" t="s">
        <v>1006</v>
      </c>
      <c r="E276">
        <f>IF(VLOOKUP(A276,'Client Master Data'!A:G,4,FALSE)="High",30,IF(VLOOKUP(A276,'Client Master Data'!A:G,4,FALSE)="Medium",20,10))+IF(VLOOKUP(A276,'Client Master Data'!A:G,7,FALSE)="Yes",40,0)+IF(C276="Yes",10,0)</f>
        <v>70</v>
      </c>
      <c r="F276" t="str">
        <f t="shared" si="4"/>
        <v>Medium</v>
      </c>
    </row>
    <row r="277" spans="1:6">
      <c r="A277">
        <v>1276</v>
      </c>
      <c r="B277" t="s">
        <v>1777</v>
      </c>
      <c r="C277" t="s">
        <v>20</v>
      </c>
      <c r="D277" t="s">
        <v>612</v>
      </c>
      <c r="E277">
        <f>IF(VLOOKUP(A277,'Client Master Data'!A:G,4,FALSE)="High",30,IF(VLOOKUP(A277,'Client Master Data'!A:G,4,FALSE)="Medium",20,10))+IF(VLOOKUP(A277,'Client Master Data'!A:G,7,FALSE)="Yes",40,0)+IF(C277="Yes",10,0)</f>
        <v>60</v>
      </c>
      <c r="F277" t="str">
        <f t="shared" si="4"/>
        <v>Medium</v>
      </c>
    </row>
    <row r="278" spans="1:6">
      <c r="A278">
        <v>1277</v>
      </c>
      <c r="B278" t="s">
        <v>1777</v>
      </c>
      <c r="C278" t="s">
        <v>20</v>
      </c>
      <c r="D278" t="s">
        <v>773</v>
      </c>
      <c r="E278">
        <f>IF(VLOOKUP(A278,'Client Master Data'!A:G,4,FALSE)="High",30,IF(VLOOKUP(A278,'Client Master Data'!A:G,4,FALSE)="Medium",20,10))+IF(VLOOKUP(A278,'Client Master Data'!A:G,7,FALSE)="Yes",40,0)+IF(C278="Yes",10,0)</f>
        <v>40</v>
      </c>
      <c r="F278" t="str">
        <f t="shared" si="4"/>
        <v>Medium</v>
      </c>
    </row>
    <row r="279" spans="1:6">
      <c r="A279">
        <v>1278</v>
      </c>
      <c r="B279" t="s">
        <v>1775</v>
      </c>
      <c r="C279" t="s">
        <v>20</v>
      </c>
      <c r="D279" t="s">
        <v>1194</v>
      </c>
      <c r="E279">
        <f>IF(VLOOKUP(A279,'Client Master Data'!A:G,4,FALSE)="High",30,IF(VLOOKUP(A279,'Client Master Data'!A:G,4,FALSE)="Medium",20,10))+IF(VLOOKUP(A279,'Client Master Data'!A:G,7,FALSE)="Yes",40,0)+IF(C279="Yes",10,0)</f>
        <v>70</v>
      </c>
      <c r="F279" t="str">
        <f t="shared" si="4"/>
        <v>Medium</v>
      </c>
    </row>
    <row r="280" spans="1:6">
      <c r="A280">
        <v>1279</v>
      </c>
      <c r="B280" t="s">
        <v>1776</v>
      </c>
      <c r="C280" t="s">
        <v>14</v>
      </c>
      <c r="D280" t="s">
        <v>758</v>
      </c>
      <c r="E280">
        <f>IF(VLOOKUP(A280,'Client Master Data'!A:G,4,FALSE)="High",30,IF(VLOOKUP(A280,'Client Master Data'!A:G,4,FALSE)="Medium",20,10))+IF(VLOOKUP(A280,'Client Master Data'!A:G,7,FALSE)="Yes",40,0)+IF(C280="Yes",10,0)</f>
        <v>30</v>
      </c>
      <c r="F280" t="str">
        <f t="shared" si="4"/>
        <v>Low</v>
      </c>
    </row>
    <row r="281" spans="1:6">
      <c r="A281">
        <v>1280</v>
      </c>
      <c r="B281" t="s">
        <v>1775</v>
      </c>
      <c r="C281" t="s">
        <v>20</v>
      </c>
      <c r="D281" t="s">
        <v>751</v>
      </c>
      <c r="E281">
        <f>IF(VLOOKUP(A281,'Client Master Data'!A:G,4,FALSE)="High",30,IF(VLOOKUP(A281,'Client Master Data'!A:G,4,FALSE)="Medium",20,10))+IF(VLOOKUP(A281,'Client Master Data'!A:G,7,FALSE)="Yes",40,0)+IF(C281="Yes",10,0)</f>
        <v>40</v>
      </c>
      <c r="F281" t="str">
        <f t="shared" si="4"/>
        <v>Medium</v>
      </c>
    </row>
    <row r="282" spans="1:6">
      <c r="A282">
        <v>1281</v>
      </c>
      <c r="B282" t="s">
        <v>1775</v>
      </c>
      <c r="C282" t="s">
        <v>20</v>
      </c>
      <c r="D282" t="s">
        <v>828</v>
      </c>
      <c r="E282">
        <f>IF(VLOOKUP(A282,'Client Master Data'!A:G,4,FALSE)="High",30,IF(VLOOKUP(A282,'Client Master Data'!A:G,4,FALSE)="Medium",20,10))+IF(VLOOKUP(A282,'Client Master Data'!A:G,7,FALSE)="Yes",40,0)+IF(C282="Yes",10,0)</f>
        <v>40</v>
      </c>
      <c r="F282" t="str">
        <f t="shared" si="4"/>
        <v>Medium</v>
      </c>
    </row>
    <row r="283" spans="1:6">
      <c r="A283">
        <v>1282</v>
      </c>
      <c r="B283" t="s">
        <v>1776</v>
      </c>
      <c r="C283" t="s">
        <v>20</v>
      </c>
      <c r="D283" t="s">
        <v>897</v>
      </c>
      <c r="E283">
        <f>IF(VLOOKUP(A283,'Client Master Data'!A:G,4,FALSE)="High",30,IF(VLOOKUP(A283,'Client Master Data'!A:G,4,FALSE)="Medium",20,10))+IF(VLOOKUP(A283,'Client Master Data'!A:G,7,FALSE)="Yes",40,0)+IF(C283="Yes",10,0)</f>
        <v>80</v>
      </c>
      <c r="F283" t="str">
        <f t="shared" si="4"/>
        <v>High</v>
      </c>
    </row>
    <row r="284" spans="1:6">
      <c r="A284">
        <v>1283</v>
      </c>
      <c r="B284" t="s">
        <v>1775</v>
      </c>
      <c r="C284" t="s">
        <v>20</v>
      </c>
      <c r="D284" t="s">
        <v>690</v>
      </c>
      <c r="E284">
        <f>IF(VLOOKUP(A284,'Client Master Data'!A:G,4,FALSE)="High",30,IF(VLOOKUP(A284,'Client Master Data'!A:G,4,FALSE)="Medium",20,10))+IF(VLOOKUP(A284,'Client Master Data'!A:G,7,FALSE)="Yes",40,0)+IF(C284="Yes",10,0)</f>
        <v>60</v>
      </c>
      <c r="F284" t="str">
        <f t="shared" si="4"/>
        <v>Medium</v>
      </c>
    </row>
    <row r="285" spans="1:6">
      <c r="A285">
        <v>1284</v>
      </c>
      <c r="B285" t="s">
        <v>1777</v>
      </c>
      <c r="C285" t="s">
        <v>20</v>
      </c>
      <c r="D285" t="s">
        <v>981</v>
      </c>
      <c r="E285">
        <f>IF(VLOOKUP(A285,'Client Master Data'!A:G,4,FALSE)="High",30,IF(VLOOKUP(A285,'Client Master Data'!A:G,4,FALSE)="Medium",20,10))+IF(VLOOKUP(A285,'Client Master Data'!A:G,7,FALSE)="Yes",40,0)+IF(C285="Yes",10,0)</f>
        <v>20</v>
      </c>
      <c r="F285" t="str">
        <f t="shared" si="4"/>
        <v>Low</v>
      </c>
    </row>
    <row r="286" spans="1:6">
      <c r="A286">
        <v>1285</v>
      </c>
      <c r="B286" t="s">
        <v>1776</v>
      </c>
      <c r="C286" t="s">
        <v>20</v>
      </c>
      <c r="D286" t="s">
        <v>1657</v>
      </c>
      <c r="E286">
        <f>IF(VLOOKUP(A286,'Client Master Data'!A:G,4,FALSE)="High",30,IF(VLOOKUP(A286,'Client Master Data'!A:G,4,FALSE)="Medium",20,10))+IF(VLOOKUP(A286,'Client Master Data'!A:G,7,FALSE)="Yes",40,0)+IF(C286="Yes",10,0)</f>
        <v>80</v>
      </c>
      <c r="F286" t="str">
        <f t="shared" si="4"/>
        <v>High</v>
      </c>
    </row>
    <row r="287" spans="1:6">
      <c r="A287">
        <v>1286</v>
      </c>
      <c r="B287" t="s">
        <v>1775</v>
      </c>
      <c r="C287" t="s">
        <v>20</v>
      </c>
      <c r="D287" t="s">
        <v>690</v>
      </c>
      <c r="E287">
        <f>IF(VLOOKUP(A287,'Client Master Data'!A:G,4,FALSE)="High",30,IF(VLOOKUP(A287,'Client Master Data'!A:G,4,FALSE)="Medium",20,10))+IF(VLOOKUP(A287,'Client Master Data'!A:G,7,FALSE)="Yes",40,0)+IF(C287="Yes",10,0)</f>
        <v>60</v>
      </c>
      <c r="F287" t="str">
        <f t="shared" si="4"/>
        <v>Medium</v>
      </c>
    </row>
    <row r="288" spans="1:6">
      <c r="A288">
        <v>1287</v>
      </c>
      <c r="B288" t="s">
        <v>1775</v>
      </c>
      <c r="C288" t="s">
        <v>20</v>
      </c>
      <c r="D288" t="s">
        <v>595</v>
      </c>
      <c r="E288">
        <f>IF(VLOOKUP(A288,'Client Master Data'!A:G,4,FALSE)="High",30,IF(VLOOKUP(A288,'Client Master Data'!A:G,4,FALSE)="Medium",20,10))+IF(VLOOKUP(A288,'Client Master Data'!A:G,7,FALSE)="Yes",40,0)+IF(C288="Yes",10,0)</f>
        <v>60</v>
      </c>
      <c r="F288" t="str">
        <f t="shared" si="4"/>
        <v>Medium</v>
      </c>
    </row>
    <row r="289" spans="1:6">
      <c r="A289">
        <v>1288</v>
      </c>
      <c r="B289" t="s">
        <v>1777</v>
      </c>
      <c r="C289" t="s">
        <v>20</v>
      </c>
      <c r="D289" t="s">
        <v>1288</v>
      </c>
      <c r="E289">
        <f>IF(VLOOKUP(A289,'Client Master Data'!A:G,4,FALSE)="High",30,IF(VLOOKUP(A289,'Client Master Data'!A:G,4,FALSE)="Medium",20,10))+IF(VLOOKUP(A289,'Client Master Data'!A:G,7,FALSE)="Yes",40,0)+IF(C289="Yes",10,0)</f>
        <v>80</v>
      </c>
      <c r="F289" t="str">
        <f t="shared" si="4"/>
        <v>High</v>
      </c>
    </row>
    <row r="290" spans="1:6">
      <c r="A290">
        <v>1289</v>
      </c>
      <c r="B290" t="s">
        <v>1775</v>
      </c>
      <c r="C290" t="s">
        <v>14</v>
      </c>
      <c r="D290" t="s">
        <v>606</v>
      </c>
      <c r="E290">
        <f>IF(VLOOKUP(A290,'Client Master Data'!A:G,4,FALSE)="High",30,IF(VLOOKUP(A290,'Client Master Data'!A:G,4,FALSE)="Medium",20,10))+IF(VLOOKUP(A290,'Client Master Data'!A:G,7,FALSE)="Yes",40,0)+IF(C290="Yes",10,0)</f>
        <v>20</v>
      </c>
      <c r="F290" t="str">
        <f t="shared" si="4"/>
        <v>Low</v>
      </c>
    </row>
    <row r="291" spans="1:6">
      <c r="A291">
        <v>1290</v>
      </c>
      <c r="B291" t="s">
        <v>1775</v>
      </c>
      <c r="C291" t="s">
        <v>20</v>
      </c>
      <c r="D291" t="s">
        <v>795</v>
      </c>
      <c r="E291">
        <f>IF(VLOOKUP(A291,'Client Master Data'!A:G,4,FALSE)="High",30,IF(VLOOKUP(A291,'Client Master Data'!A:G,4,FALSE)="Medium",20,10))+IF(VLOOKUP(A291,'Client Master Data'!A:G,7,FALSE)="Yes",40,0)+IF(C291="Yes",10,0)</f>
        <v>60</v>
      </c>
      <c r="F291" t="str">
        <f t="shared" si="4"/>
        <v>Medium</v>
      </c>
    </row>
    <row r="292" spans="1:6">
      <c r="A292">
        <v>1291</v>
      </c>
      <c r="B292" t="s">
        <v>1777</v>
      </c>
      <c r="C292" t="s">
        <v>14</v>
      </c>
      <c r="D292" t="s">
        <v>717</v>
      </c>
      <c r="E292">
        <f>IF(VLOOKUP(A292,'Client Master Data'!A:G,4,FALSE)="High",30,IF(VLOOKUP(A292,'Client Master Data'!A:G,4,FALSE)="Medium",20,10))+IF(VLOOKUP(A292,'Client Master Data'!A:G,7,FALSE)="Yes",40,0)+IF(C292="Yes",10,0)</f>
        <v>70</v>
      </c>
      <c r="F292" t="str">
        <f t="shared" si="4"/>
        <v>Medium</v>
      </c>
    </row>
    <row r="293" spans="1:6">
      <c r="A293">
        <v>1292</v>
      </c>
      <c r="B293" t="s">
        <v>1777</v>
      </c>
      <c r="C293" t="s">
        <v>14</v>
      </c>
      <c r="D293" t="s">
        <v>644</v>
      </c>
      <c r="E293">
        <f>IF(VLOOKUP(A293,'Client Master Data'!A:G,4,FALSE)="High",30,IF(VLOOKUP(A293,'Client Master Data'!A:G,4,FALSE)="Medium",20,10))+IF(VLOOKUP(A293,'Client Master Data'!A:G,7,FALSE)="Yes",40,0)+IF(C293="Yes",10,0)</f>
        <v>50</v>
      </c>
      <c r="F293" t="str">
        <f t="shared" si="4"/>
        <v>Medium</v>
      </c>
    </row>
    <row r="294" spans="1:6">
      <c r="A294">
        <v>1293</v>
      </c>
      <c r="B294" t="s">
        <v>1777</v>
      </c>
      <c r="C294" t="s">
        <v>20</v>
      </c>
      <c r="D294" t="s">
        <v>1234</v>
      </c>
      <c r="E294">
        <f>IF(VLOOKUP(A294,'Client Master Data'!A:G,4,FALSE)="High",30,IF(VLOOKUP(A294,'Client Master Data'!A:G,4,FALSE)="Medium",20,10))+IF(VLOOKUP(A294,'Client Master Data'!A:G,7,FALSE)="Yes",40,0)+IF(C294="Yes",10,0)</f>
        <v>30</v>
      </c>
      <c r="F294" t="str">
        <f t="shared" si="4"/>
        <v>Low</v>
      </c>
    </row>
    <row r="295" spans="1:6">
      <c r="A295">
        <v>1294</v>
      </c>
      <c r="B295" t="s">
        <v>1776</v>
      </c>
      <c r="C295" t="s">
        <v>14</v>
      </c>
      <c r="D295" t="s">
        <v>760</v>
      </c>
      <c r="E295">
        <f>IF(VLOOKUP(A295,'Client Master Data'!A:G,4,FALSE)="High",30,IF(VLOOKUP(A295,'Client Master Data'!A:G,4,FALSE)="Medium",20,10))+IF(VLOOKUP(A295,'Client Master Data'!A:G,7,FALSE)="Yes",40,0)+IF(C295="Yes",10,0)</f>
        <v>50</v>
      </c>
      <c r="F295" t="str">
        <f t="shared" si="4"/>
        <v>Medium</v>
      </c>
    </row>
    <row r="296" spans="1:6">
      <c r="A296">
        <v>1295</v>
      </c>
      <c r="B296" t="s">
        <v>1776</v>
      </c>
      <c r="C296" t="s">
        <v>20</v>
      </c>
      <c r="D296" t="s">
        <v>937</v>
      </c>
      <c r="E296">
        <f>IF(VLOOKUP(A296,'Client Master Data'!A:G,4,FALSE)="High",30,IF(VLOOKUP(A296,'Client Master Data'!A:G,4,FALSE)="Medium",20,10))+IF(VLOOKUP(A296,'Client Master Data'!A:G,7,FALSE)="Yes",40,0)+IF(C296="Yes",10,0)</f>
        <v>60</v>
      </c>
      <c r="F296" t="str">
        <f t="shared" si="4"/>
        <v>Medium</v>
      </c>
    </row>
    <row r="297" spans="1:6">
      <c r="A297">
        <v>1296</v>
      </c>
      <c r="B297" t="s">
        <v>1776</v>
      </c>
      <c r="C297" t="s">
        <v>14</v>
      </c>
      <c r="D297" t="s">
        <v>989</v>
      </c>
      <c r="E297">
        <f>IF(VLOOKUP(A297,'Client Master Data'!A:G,4,FALSE)="High",30,IF(VLOOKUP(A297,'Client Master Data'!A:G,4,FALSE)="Medium",20,10))+IF(VLOOKUP(A297,'Client Master Data'!A:G,7,FALSE)="Yes",40,0)+IF(C297="Yes",10,0)</f>
        <v>10</v>
      </c>
      <c r="F297" t="str">
        <f t="shared" si="4"/>
        <v>Low</v>
      </c>
    </row>
    <row r="298" spans="1:6">
      <c r="A298">
        <v>1297</v>
      </c>
      <c r="B298" t="s">
        <v>1775</v>
      </c>
      <c r="C298" t="s">
        <v>14</v>
      </c>
      <c r="D298" t="s">
        <v>1028</v>
      </c>
      <c r="E298">
        <f>IF(VLOOKUP(A298,'Client Master Data'!A:G,4,FALSE)="High",30,IF(VLOOKUP(A298,'Client Master Data'!A:G,4,FALSE)="Medium",20,10))+IF(VLOOKUP(A298,'Client Master Data'!A:G,7,FALSE)="Yes",40,0)+IF(C298="Yes",10,0)</f>
        <v>60</v>
      </c>
      <c r="F298" t="str">
        <f t="shared" si="4"/>
        <v>Medium</v>
      </c>
    </row>
    <row r="299" spans="1:6">
      <c r="A299">
        <v>1298</v>
      </c>
      <c r="B299" t="s">
        <v>1777</v>
      </c>
      <c r="C299" t="s">
        <v>14</v>
      </c>
      <c r="D299" t="s">
        <v>671</v>
      </c>
      <c r="E299">
        <f>IF(VLOOKUP(A299,'Client Master Data'!A:G,4,FALSE)="High",30,IF(VLOOKUP(A299,'Client Master Data'!A:G,4,FALSE)="Medium",20,10))+IF(VLOOKUP(A299,'Client Master Data'!A:G,7,FALSE)="Yes",40,0)+IF(C299="Yes",10,0)</f>
        <v>50</v>
      </c>
      <c r="F299" t="str">
        <f t="shared" si="4"/>
        <v>Medium</v>
      </c>
    </row>
    <row r="300" spans="1:6">
      <c r="A300">
        <v>1299</v>
      </c>
      <c r="B300" t="s">
        <v>1776</v>
      </c>
      <c r="C300" t="s">
        <v>20</v>
      </c>
      <c r="D300" t="s">
        <v>608</v>
      </c>
      <c r="E300">
        <f>IF(VLOOKUP(A300,'Client Master Data'!A:G,4,FALSE)="High",30,IF(VLOOKUP(A300,'Client Master Data'!A:G,4,FALSE)="Medium",20,10))+IF(VLOOKUP(A300,'Client Master Data'!A:G,7,FALSE)="Yes",40,0)+IF(C300="Yes",10,0)</f>
        <v>80</v>
      </c>
      <c r="F300" t="str">
        <f t="shared" si="4"/>
        <v>High</v>
      </c>
    </row>
    <row r="301" spans="1:6">
      <c r="A301">
        <v>1300</v>
      </c>
      <c r="B301" t="s">
        <v>1775</v>
      </c>
      <c r="C301" t="s">
        <v>20</v>
      </c>
      <c r="D301" t="s">
        <v>638</v>
      </c>
      <c r="E301">
        <f>IF(VLOOKUP(A301,'Client Master Data'!A:G,4,FALSE)="High",30,IF(VLOOKUP(A301,'Client Master Data'!A:G,4,FALSE)="Medium",20,10))+IF(VLOOKUP(A301,'Client Master Data'!A:G,7,FALSE)="Yes",40,0)+IF(C301="Yes",10,0)</f>
        <v>80</v>
      </c>
      <c r="F301" t="str">
        <f t="shared" si="4"/>
        <v>High</v>
      </c>
    </row>
    <row r="302" spans="1:6">
      <c r="A302">
        <v>1301</v>
      </c>
      <c r="B302" t="s">
        <v>1775</v>
      </c>
      <c r="C302" t="s">
        <v>14</v>
      </c>
      <c r="D302" t="s">
        <v>745</v>
      </c>
      <c r="E302">
        <f>IF(VLOOKUP(A302,'Client Master Data'!A:G,4,FALSE)="High",30,IF(VLOOKUP(A302,'Client Master Data'!A:G,4,FALSE)="Medium",20,10))+IF(VLOOKUP(A302,'Client Master Data'!A:G,7,FALSE)="Yes",40,0)+IF(C302="Yes",10,0)</f>
        <v>50</v>
      </c>
      <c r="F302" t="str">
        <f t="shared" si="4"/>
        <v>Medium</v>
      </c>
    </row>
    <row r="303" spans="1:6">
      <c r="A303">
        <v>1302</v>
      </c>
      <c r="B303" t="s">
        <v>1775</v>
      </c>
      <c r="C303" t="s">
        <v>20</v>
      </c>
      <c r="D303" t="s">
        <v>807</v>
      </c>
      <c r="E303">
        <f>IF(VLOOKUP(A303,'Client Master Data'!A:G,4,FALSE)="High",30,IF(VLOOKUP(A303,'Client Master Data'!A:G,4,FALSE)="Medium",20,10))+IF(VLOOKUP(A303,'Client Master Data'!A:G,7,FALSE)="Yes",40,0)+IF(C303="Yes",10,0)</f>
        <v>60</v>
      </c>
      <c r="F303" t="str">
        <f t="shared" si="4"/>
        <v>Medium</v>
      </c>
    </row>
    <row r="304" spans="1:6">
      <c r="A304">
        <v>1303</v>
      </c>
      <c r="B304" t="s">
        <v>1777</v>
      </c>
      <c r="C304" t="s">
        <v>20</v>
      </c>
      <c r="D304" t="s">
        <v>958</v>
      </c>
      <c r="E304">
        <f>IF(VLOOKUP(A304,'Client Master Data'!A:G,4,FALSE)="High",30,IF(VLOOKUP(A304,'Client Master Data'!A:G,4,FALSE)="Medium",20,10))+IF(VLOOKUP(A304,'Client Master Data'!A:G,7,FALSE)="Yes",40,0)+IF(C304="Yes",10,0)</f>
        <v>40</v>
      </c>
      <c r="F304" t="str">
        <f t="shared" si="4"/>
        <v>Medium</v>
      </c>
    </row>
    <row r="305" spans="1:6">
      <c r="A305">
        <v>1304</v>
      </c>
      <c r="B305" t="s">
        <v>1776</v>
      </c>
      <c r="C305" t="s">
        <v>14</v>
      </c>
      <c r="D305" t="s">
        <v>868</v>
      </c>
      <c r="E305">
        <f>IF(VLOOKUP(A305,'Client Master Data'!A:G,4,FALSE)="High",30,IF(VLOOKUP(A305,'Client Master Data'!A:G,4,FALSE)="Medium",20,10))+IF(VLOOKUP(A305,'Client Master Data'!A:G,7,FALSE)="Yes",40,0)+IF(C305="Yes",10,0)</f>
        <v>70</v>
      </c>
      <c r="F305" t="str">
        <f t="shared" si="4"/>
        <v>Medium</v>
      </c>
    </row>
    <row r="306" spans="1:6">
      <c r="A306">
        <v>1305</v>
      </c>
      <c r="B306" t="s">
        <v>1776</v>
      </c>
      <c r="C306" t="s">
        <v>20</v>
      </c>
      <c r="D306" t="s">
        <v>1507</v>
      </c>
      <c r="E306">
        <f>IF(VLOOKUP(A306,'Client Master Data'!A:G,4,FALSE)="High",30,IF(VLOOKUP(A306,'Client Master Data'!A:G,4,FALSE)="Medium",20,10))+IF(VLOOKUP(A306,'Client Master Data'!A:G,7,FALSE)="Yes",40,0)+IF(C306="Yes",10,0)</f>
        <v>20</v>
      </c>
      <c r="F306" t="str">
        <f t="shared" si="4"/>
        <v>Low</v>
      </c>
    </row>
    <row r="307" spans="1:6">
      <c r="A307">
        <v>1306</v>
      </c>
      <c r="B307" t="s">
        <v>1777</v>
      </c>
      <c r="C307" t="s">
        <v>14</v>
      </c>
      <c r="D307" t="s">
        <v>740</v>
      </c>
      <c r="E307">
        <f>IF(VLOOKUP(A307,'Client Master Data'!A:G,4,FALSE)="High",30,IF(VLOOKUP(A307,'Client Master Data'!A:G,4,FALSE)="Medium",20,10))+IF(VLOOKUP(A307,'Client Master Data'!A:G,7,FALSE)="Yes",40,0)+IF(C307="Yes",10,0)</f>
        <v>10</v>
      </c>
      <c r="F307" t="str">
        <f t="shared" si="4"/>
        <v>Low</v>
      </c>
    </row>
    <row r="308" spans="1:6">
      <c r="A308">
        <v>1307</v>
      </c>
      <c r="B308" t="s">
        <v>1777</v>
      </c>
      <c r="C308" t="s">
        <v>14</v>
      </c>
      <c r="D308" t="s">
        <v>660</v>
      </c>
      <c r="E308">
        <f>IF(VLOOKUP(A308,'Client Master Data'!A:G,4,FALSE)="High",30,IF(VLOOKUP(A308,'Client Master Data'!A:G,4,FALSE)="Medium",20,10))+IF(VLOOKUP(A308,'Client Master Data'!A:G,7,FALSE)="Yes",40,0)+IF(C308="Yes",10,0)</f>
        <v>60</v>
      </c>
      <c r="F308" t="str">
        <f t="shared" si="4"/>
        <v>Medium</v>
      </c>
    </row>
    <row r="309" spans="1:6">
      <c r="A309">
        <v>1308</v>
      </c>
      <c r="B309" t="s">
        <v>1777</v>
      </c>
      <c r="C309" t="s">
        <v>14</v>
      </c>
      <c r="D309" t="s">
        <v>1046</v>
      </c>
      <c r="E309">
        <f>IF(VLOOKUP(A309,'Client Master Data'!A:G,4,FALSE)="High",30,IF(VLOOKUP(A309,'Client Master Data'!A:G,4,FALSE)="Medium",20,10))+IF(VLOOKUP(A309,'Client Master Data'!A:G,7,FALSE)="Yes",40,0)+IF(C309="Yes",10,0)</f>
        <v>10</v>
      </c>
      <c r="F309" t="str">
        <f t="shared" si="4"/>
        <v>Low</v>
      </c>
    </row>
    <row r="310" spans="1:6">
      <c r="A310">
        <v>1309</v>
      </c>
      <c r="B310" t="s">
        <v>1777</v>
      </c>
      <c r="C310" t="s">
        <v>20</v>
      </c>
      <c r="D310" t="s">
        <v>818</v>
      </c>
      <c r="E310">
        <f>IF(VLOOKUP(A310,'Client Master Data'!A:G,4,FALSE)="High",30,IF(VLOOKUP(A310,'Client Master Data'!A:G,4,FALSE)="Medium",20,10))+IF(VLOOKUP(A310,'Client Master Data'!A:G,7,FALSE)="Yes",40,0)+IF(C310="Yes",10,0)</f>
        <v>40</v>
      </c>
      <c r="F310" t="str">
        <f t="shared" si="4"/>
        <v>Medium</v>
      </c>
    </row>
    <row r="311" spans="1:6">
      <c r="A311">
        <v>1310</v>
      </c>
      <c r="B311" t="s">
        <v>1776</v>
      </c>
      <c r="C311" t="s">
        <v>20</v>
      </c>
      <c r="D311" t="s">
        <v>815</v>
      </c>
      <c r="E311">
        <f>IF(VLOOKUP(A311,'Client Master Data'!A:G,4,FALSE)="High",30,IF(VLOOKUP(A311,'Client Master Data'!A:G,4,FALSE)="Medium",20,10))+IF(VLOOKUP(A311,'Client Master Data'!A:G,7,FALSE)="Yes",40,0)+IF(C311="Yes",10,0)</f>
        <v>20</v>
      </c>
      <c r="F311" t="str">
        <f t="shared" si="4"/>
        <v>Low</v>
      </c>
    </row>
    <row r="312" spans="1:6">
      <c r="A312">
        <v>1311</v>
      </c>
      <c r="B312" t="s">
        <v>1775</v>
      </c>
      <c r="C312" t="s">
        <v>20</v>
      </c>
      <c r="D312" t="s">
        <v>629</v>
      </c>
      <c r="E312">
        <f>IF(VLOOKUP(A312,'Client Master Data'!A:G,4,FALSE)="High",30,IF(VLOOKUP(A312,'Client Master Data'!A:G,4,FALSE)="Medium",20,10))+IF(VLOOKUP(A312,'Client Master Data'!A:G,7,FALSE)="Yes",40,0)+IF(C312="Yes",10,0)</f>
        <v>20</v>
      </c>
      <c r="F312" t="str">
        <f t="shared" si="4"/>
        <v>Low</v>
      </c>
    </row>
    <row r="313" spans="1:6">
      <c r="A313">
        <v>1312</v>
      </c>
      <c r="B313" t="s">
        <v>1777</v>
      </c>
      <c r="C313" t="s">
        <v>20</v>
      </c>
      <c r="D313" t="s">
        <v>1019</v>
      </c>
      <c r="E313">
        <f>IF(VLOOKUP(A313,'Client Master Data'!A:G,4,FALSE)="High",30,IF(VLOOKUP(A313,'Client Master Data'!A:G,4,FALSE)="Medium",20,10))+IF(VLOOKUP(A313,'Client Master Data'!A:G,7,FALSE)="Yes",40,0)+IF(C313="Yes",10,0)</f>
        <v>60</v>
      </c>
      <c r="F313" t="str">
        <f t="shared" si="4"/>
        <v>Medium</v>
      </c>
    </row>
    <row r="314" spans="1:6">
      <c r="A314">
        <v>1313</v>
      </c>
      <c r="B314" t="s">
        <v>1776</v>
      </c>
      <c r="C314" t="s">
        <v>14</v>
      </c>
      <c r="D314" t="s">
        <v>861</v>
      </c>
      <c r="E314">
        <f>IF(VLOOKUP(A314,'Client Master Data'!A:G,4,FALSE)="High",30,IF(VLOOKUP(A314,'Client Master Data'!A:G,4,FALSE)="Medium",20,10))+IF(VLOOKUP(A314,'Client Master Data'!A:G,7,FALSE)="Yes",40,0)+IF(C314="Yes",10,0)</f>
        <v>30</v>
      </c>
      <c r="F314" t="str">
        <f t="shared" si="4"/>
        <v>Low</v>
      </c>
    </row>
    <row r="315" spans="1:6">
      <c r="A315">
        <v>1314</v>
      </c>
      <c r="B315" t="s">
        <v>1775</v>
      </c>
      <c r="C315" t="s">
        <v>20</v>
      </c>
      <c r="D315" t="s">
        <v>660</v>
      </c>
      <c r="E315">
        <f>IF(VLOOKUP(A315,'Client Master Data'!A:G,4,FALSE)="High",30,IF(VLOOKUP(A315,'Client Master Data'!A:G,4,FALSE)="Medium",20,10))+IF(VLOOKUP(A315,'Client Master Data'!A:G,7,FALSE)="Yes",40,0)+IF(C315="Yes",10,0)</f>
        <v>60</v>
      </c>
      <c r="F315" t="str">
        <f t="shared" si="4"/>
        <v>Medium</v>
      </c>
    </row>
    <row r="316" spans="1:6">
      <c r="A316">
        <v>1315</v>
      </c>
      <c r="B316" t="s">
        <v>1777</v>
      </c>
      <c r="C316" t="s">
        <v>20</v>
      </c>
      <c r="D316" t="s">
        <v>937</v>
      </c>
      <c r="E316">
        <f>IF(VLOOKUP(A316,'Client Master Data'!A:G,4,FALSE)="High",30,IF(VLOOKUP(A316,'Client Master Data'!A:G,4,FALSE)="Medium",20,10))+IF(VLOOKUP(A316,'Client Master Data'!A:G,7,FALSE)="Yes",40,0)+IF(C316="Yes",10,0)</f>
        <v>60</v>
      </c>
      <c r="F316" t="str">
        <f t="shared" si="4"/>
        <v>Medium</v>
      </c>
    </row>
    <row r="317" spans="1:6">
      <c r="A317">
        <v>1316</v>
      </c>
      <c r="B317" t="s">
        <v>1777</v>
      </c>
      <c r="C317" t="s">
        <v>14</v>
      </c>
      <c r="D317" t="s">
        <v>767</v>
      </c>
      <c r="E317">
        <f>IF(VLOOKUP(A317,'Client Master Data'!A:G,4,FALSE)="High",30,IF(VLOOKUP(A317,'Client Master Data'!A:G,4,FALSE)="Medium",20,10))+IF(VLOOKUP(A317,'Client Master Data'!A:G,7,FALSE)="Yes",40,0)+IF(C317="Yes",10,0)</f>
        <v>50</v>
      </c>
      <c r="F317" t="str">
        <f t="shared" si="4"/>
        <v>Medium</v>
      </c>
    </row>
    <row r="318" spans="1:6">
      <c r="A318">
        <v>1317</v>
      </c>
      <c r="B318" t="s">
        <v>1776</v>
      </c>
      <c r="C318" t="s">
        <v>14</v>
      </c>
      <c r="D318" t="s">
        <v>958</v>
      </c>
      <c r="E318">
        <f>IF(VLOOKUP(A318,'Client Master Data'!A:G,4,FALSE)="High",30,IF(VLOOKUP(A318,'Client Master Data'!A:G,4,FALSE)="Medium",20,10))+IF(VLOOKUP(A318,'Client Master Data'!A:G,7,FALSE)="Yes",40,0)+IF(C318="Yes",10,0)</f>
        <v>10</v>
      </c>
      <c r="F318" t="str">
        <f t="shared" si="4"/>
        <v>Low</v>
      </c>
    </row>
    <row r="319" spans="1:6">
      <c r="A319">
        <v>1318</v>
      </c>
      <c r="B319" t="s">
        <v>1777</v>
      </c>
      <c r="C319" t="s">
        <v>20</v>
      </c>
      <c r="D319" t="s">
        <v>915</v>
      </c>
      <c r="E319">
        <f>IF(VLOOKUP(A319,'Client Master Data'!A:G,4,FALSE)="High",30,IF(VLOOKUP(A319,'Client Master Data'!A:G,4,FALSE)="Medium",20,10))+IF(VLOOKUP(A319,'Client Master Data'!A:G,7,FALSE)="Yes",40,0)+IF(C319="Yes",10,0)</f>
        <v>80</v>
      </c>
      <c r="F319" t="str">
        <f t="shared" si="4"/>
        <v>High</v>
      </c>
    </row>
    <row r="320" spans="1:6">
      <c r="A320">
        <v>1319</v>
      </c>
      <c r="B320" t="s">
        <v>1777</v>
      </c>
      <c r="C320" t="s">
        <v>20</v>
      </c>
      <c r="D320" t="s">
        <v>858</v>
      </c>
      <c r="E320">
        <f>IF(VLOOKUP(A320,'Client Master Data'!A:G,4,FALSE)="High",30,IF(VLOOKUP(A320,'Client Master Data'!A:G,4,FALSE)="Medium",20,10))+IF(VLOOKUP(A320,'Client Master Data'!A:G,7,FALSE)="Yes",40,0)+IF(C320="Yes",10,0)</f>
        <v>70</v>
      </c>
      <c r="F320" t="str">
        <f t="shared" si="4"/>
        <v>Medium</v>
      </c>
    </row>
    <row r="321" spans="1:6">
      <c r="A321">
        <v>1320</v>
      </c>
      <c r="B321" t="s">
        <v>1777</v>
      </c>
      <c r="C321" t="s">
        <v>20</v>
      </c>
      <c r="D321" t="s">
        <v>809</v>
      </c>
      <c r="E321">
        <f>IF(VLOOKUP(A321,'Client Master Data'!A:G,4,FALSE)="High",30,IF(VLOOKUP(A321,'Client Master Data'!A:G,4,FALSE)="Medium",20,10))+IF(VLOOKUP(A321,'Client Master Data'!A:G,7,FALSE)="Yes",40,0)+IF(C321="Yes",10,0)</f>
        <v>80</v>
      </c>
      <c r="F321" t="str">
        <f t="shared" si="4"/>
        <v>High</v>
      </c>
    </row>
    <row r="322" spans="1:6">
      <c r="A322">
        <v>1321</v>
      </c>
      <c r="B322" t="s">
        <v>1777</v>
      </c>
      <c r="C322" t="s">
        <v>14</v>
      </c>
      <c r="D322" t="s">
        <v>958</v>
      </c>
      <c r="E322">
        <f>IF(VLOOKUP(A322,'Client Master Data'!A:G,4,FALSE)="High",30,IF(VLOOKUP(A322,'Client Master Data'!A:G,4,FALSE)="Medium",20,10))+IF(VLOOKUP(A322,'Client Master Data'!A:G,7,FALSE)="Yes",40,0)+IF(C322="Yes",10,0)</f>
        <v>60</v>
      </c>
      <c r="F322" t="str">
        <f t="shared" ref="F322:F385" si="5">IF(E322&lt;=30,"Low",IF(E322&lt;=70,"Medium","High"))</f>
        <v>Medium</v>
      </c>
    </row>
    <row r="323" spans="1:6">
      <c r="A323">
        <v>1322</v>
      </c>
      <c r="B323" t="s">
        <v>1775</v>
      </c>
      <c r="C323" t="s">
        <v>20</v>
      </c>
      <c r="D323" t="s">
        <v>698</v>
      </c>
      <c r="E323">
        <f>IF(VLOOKUP(A323,'Client Master Data'!A:G,4,FALSE)="High",30,IF(VLOOKUP(A323,'Client Master Data'!A:G,4,FALSE)="Medium",20,10))+IF(VLOOKUP(A323,'Client Master Data'!A:G,7,FALSE)="Yes",40,0)+IF(C323="Yes",10,0)</f>
        <v>40</v>
      </c>
      <c r="F323" t="str">
        <f t="shared" si="5"/>
        <v>Medium</v>
      </c>
    </row>
    <row r="324" spans="1:6">
      <c r="A324">
        <v>1323</v>
      </c>
      <c r="B324" t="s">
        <v>1775</v>
      </c>
      <c r="C324" t="s">
        <v>20</v>
      </c>
      <c r="D324" t="s">
        <v>616</v>
      </c>
      <c r="E324">
        <f>IF(VLOOKUP(A324,'Client Master Data'!A:G,4,FALSE)="High",30,IF(VLOOKUP(A324,'Client Master Data'!A:G,4,FALSE)="Medium",20,10))+IF(VLOOKUP(A324,'Client Master Data'!A:G,7,FALSE)="Yes",40,0)+IF(C324="Yes",10,0)</f>
        <v>60</v>
      </c>
      <c r="F324" t="str">
        <f t="shared" si="5"/>
        <v>Medium</v>
      </c>
    </row>
    <row r="325" spans="1:6">
      <c r="A325">
        <v>1324</v>
      </c>
      <c r="B325" t="s">
        <v>1777</v>
      </c>
      <c r="C325" t="s">
        <v>14</v>
      </c>
      <c r="D325" t="s">
        <v>1022</v>
      </c>
      <c r="E325">
        <f>IF(VLOOKUP(A325,'Client Master Data'!A:G,4,FALSE)="High",30,IF(VLOOKUP(A325,'Client Master Data'!A:G,4,FALSE)="Medium",20,10))+IF(VLOOKUP(A325,'Client Master Data'!A:G,7,FALSE)="Yes",40,0)+IF(C325="Yes",10,0)</f>
        <v>60</v>
      </c>
      <c r="F325" t="str">
        <f t="shared" si="5"/>
        <v>Medium</v>
      </c>
    </row>
    <row r="326" spans="1:6">
      <c r="A326">
        <v>1325</v>
      </c>
      <c r="B326" t="s">
        <v>1775</v>
      </c>
      <c r="C326" t="s">
        <v>14</v>
      </c>
      <c r="D326" t="s">
        <v>1115</v>
      </c>
      <c r="E326">
        <f>IF(VLOOKUP(A326,'Client Master Data'!A:G,4,FALSE)="High",30,IF(VLOOKUP(A326,'Client Master Data'!A:G,4,FALSE)="Medium",20,10))+IF(VLOOKUP(A326,'Client Master Data'!A:G,7,FALSE)="Yes",40,0)+IF(C326="Yes",10,0)</f>
        <v>70</v>
      </c>
      <c r="F326" t="str">
        <f t="shared" si="5"/>
        <v>Medium</v>
      </c>
    </row>
    <row r="327" spans="1:6">
      <c r="A327">
        <v>1326</v>
      </c>
      <c r="B327" t="s">
        <v>1776</v>
      </c>
      <c r="C327" t="s">
        <v>20</v>
      </c>
      <c r="D327" t="s">
        <v>888</v>
      </c>
      <c r="E327">
        <f>IF(VLOOKUP(A327,'Client Master Data'!A:G,4,FALSE)="High",30,IF(VLOOKUP(A327,'Client Master Data'!A:G,4,FALSE)="Medium",20,10))+IF(VLOOKUP(A327,'Client Master Data'!A:G,7,FALSE)="Yes",40,0)+IF(C327="Yes",10,0)</f>
        <v>80</v>
      </c>
      <c r="F327" t="str">
        <f t="shared" si="5"/>
        <v>High</v>
      </c>
    </row>
    <row r="328" spans="1:6">
      <c r="A328">
        <v>1327</v>
      </c>
      <c r="B328" t="s">
        <v>1777</v>
      </c>
      <c r="C328" t="s">
        <v>14</v>
      </c>
      <c r="D328" t="s">
        <v>863</v>
      </c>
      <c r="E328">
        <f>IF(VLOOKUP(A328,'Client Master Data'!A:G,4,FALSE)="High",30,IF(VLOOKUP(A328,'Client Master Data'!A:G,4,FALSE)="Medium",20,10))+IF(VLOOKUP(A328,'Client Master Data'!A:G,7,FALSE)="Yes",40,0)+IF(C328="Yes",10,0)</f>
        <v>30</v>
      </c>
      <c r="F328" t="str">
        <f t="shared" si="5"/>
        <v>Low</v>
      </c>
    </row>
    <row r="329" spans="1:6">
      <c r="A329">
        <v>1328</v>
      </c>
      <c r="B329" t="s">
        <v>1775</v>
      </c>
      <c r="C329" t="s">
        <v>14</v>
      </c>
      <c r="D329" t="s">
        <v>826</v>
      </c>
      <c r="E329">
        <f>IF(VLOOKUP(A329,'Client Master Data'!A:G,4,FALSE)="High",30,IF(VLOOKUP(A329,'Client Master Data'!A:G,4,FALSE)="Medium",20,10))+IF(VLOOKUP(A329,'Client Master Data'!A:G,7,FALSE)="Yes",40,0)+IF(C329="Yes",10,0)</f>
        <v>30</v>
      </c>
      <c r="F329" t="str">
        <f t="shared" si="5"/>
        <v>Low</v>
      </c>
    </row>
    <row r="330" spans="1:6">
      <c r="A330">
        <v>1329</v>
      </c>
      <c r="B330" t="s">
        <v>1775</v>
      </c>
      <c r="C330" t="s">
        <v>14</v>
      </c>
      <c r="D330" t="s">
        <v>720</v>
      </c>
      <c r="E330">
        <f>IF(VLOOKUP(A330,'Client Master Data'!A:G,4,FALSE)="High",30,IF(VLOOKUP(A330,'Client Master Data'!A:G,4,FALSE)="Medium",20,10))+IF(VLOOKUP(A330,'Client Master Data'!A:G,7,FALSE)="Yes",40,0)+IF(C330="Yes",10,0)</f>
        <v>10</v>
      </c>
      <c r="F330" t="str">
        <f t="shared" si="5"/>
        <v>Low</v>
      </c>
    </row>
    <row r="331" spans="1:6">
      <c r="A331">
        <v>1330</v>
      </c>
      <c r="B331" t="s">
        <v>1776</v>
      </c>
      <c r="C331" t="s">
        <v>20</v>
      </c>
      <c r="D331" t="s">
        <v>836</v>
      </c>
      <c r="E331">
        <f>IF(VLOOKUP(A331,'Client Master Data'!A:G,4,FALSE)="High",30,IF(VLOOKUP(A331,'Client Master Data'!A:G,4,FALSE)="Medium",20,10))+IF(VLOOKUP(A331,'Client Master Data'!A:G,7,FALSE)="Yes",40,0)+IF(C331="Yes",10,0)</f>
        <v>40</v>
      </c>
      <c r="F331" t="str">
        <f t="shared" si="5"/>
        <v>Medium</v>
      </c>
    </row>
    <row r="332" spans="1:6">
      <c r="A332">
        <v>1331</v>
      </c>
      <c r="B332" t="s">
        <v>1777</v>
      </c>
      <c r="C332" t="s">
        <v>20</v>
      </c>
      <c r="D332" t="s">
        <v>599</v>
      </c>
      <c r="E332">
        <f>IF(VLOOKUP(A332,'Client Master Data'!A:G,4,FALSE)="High",30,IF(VLOOKUP(A332,'Client Master Data'!A:G,4,FALSE)="Medium",20,10))+IF(VLOOKUP(A332,'Client Master Data'!A:G,7,FALSE)="Yes",40,0)+IF(C332="Yes",10,0)</f>
        <v>30</v>
      </c>
      <c r="F332" t="str">
        <f t="shared" si="5"/>
        <v>Low</v>
      </c>
    </row>
    <row r="333" spans="1:6">
      <c r="A333">
        <v>1332</v>
      </c>
      <c r="B333" t="s">
        <v>1776</v>
      </c>
      <c r="C333" t="s">
        <v>14</v>
      </c>
      <c r="D333" t="s">
        <v>1224</v>
      </c>
      <c r="E333">
        <f>IF(VLOOKUP(A333,'Client Master Data'!A:G,4,FALSE)="High",30,IF(VLOOKUP(A333,'Client Master Data'!A:G,4,FALSE)="Medium",20,10))+IF(VLOOKUP(A333,'Client Master Data'!A:G,7,FALSE)="Yes",40,0)+IF(C333="Yes",10,0)</f>
        <v>50</v>
      </c>
      <c r="F333" t="str">
        <f t="shared" si="5"/>
        <v>Medium</v>
      </c>
    </row>
    <row r="334" spans="1:6">
      <c r="A334">
        <v>1333</v>
      </c>
      <c r="B334" t="s">
        <v>1777</v>
      </c>
      <c r="C334" t="s">
        <v>20</v>
      </c>
      <c r="D334" t="s">
        <v>1476</v>
      </c>
      <c r="E334">
        <f>IF(VLOOKUP(A334,'Client Master Data'!A:G,4,FALSE)="High",30,IF(VLOOKUP(A334,'Client Master Data'!A:G,4,FALSE)="Medium",20,10))+IF(VLOOKUP(A334,'Client Master Data'!A:G,7,FALSE)="Yes",40,0)+IF(C334="Yes",10,0)</f>
        <v>20</v>
      </c>
      <c r="F334" t="str">
        <f t="shared" si="5"/>
        <v>Low</v>
      </c>
    </row>
    <row r="335" spans="1:6">
      <c r="A335">
        <v>1334</v>
      </c>
      <c r="B335" t="s">
        <v>1777</v>
      </c>
      <c r="C335" t="s">
        <v>20</v>
      </c>
      <c r="D335" t="s">
        <v>587</v>
      </c>
      <c r="E335">
        <f>IF(VLOOKUP(A335,'Client Master Data'!A:G,4,FALSE)="High",30,IF(VLOOKUP(A335,'Client Master Data'!A:G,4,FALSE)="Medium",20,10))+IF(VLOOKUP(A335,'Client Master Data'!A:G,7,FALSE)="Yes",40,0)+IF(C335="Yes",10,0)</f>
        <v>70</v>
      </c>
      <c r="F335" t="str">
        <f t="shared" si="5"/>
        <v>Medium</v>
      </c>
    </row>
    <row r="336" spans="1:6">
      <c r="A336">
        <v>1335</v>
      </c>
      <c r="B336" t="s">
        <v>1775</v>
      </c>
      <c r="C336" t="s">
        <v>20</v>
      </c>
      <c r="D336" t="s">
        <v>747</v>
      </c>
      <c r="E336">
        <f>IF(VLOOKUP(A336,'Client Master Data'!A:G,4,FALSE)="High",30,IF(VLOOKUP(A336,'Client Master Data'!A:G,4,FALSE)="Medium",20,10))+IF(VLOOKUP(A336,'Client Master Data'!A:G,7,FALSE)="Yes",40,0)+IF(C336="Yes",10,0)</f>
        <v>20</v>
      </c>
      <c r="F336" t="str">
        <f t="shared" si="5"/>
        <v>Low</v>
      </c>
    </row>
    <row r="337" spans="1:6">
      <c r="A337">
        <v>1336</v>
      </c>
      <c r="B337" t="s">
        <v>1776</v>
      </c>
      <c r="C337" t="s">
        <v>14</v>
      </c>
      <c r="D337" t="s">
        <v>836</v>
      </c>
      <c r="E337">
        <f>IF(VLOOKUP(A337,'Client Master Data'!A:G,4,FALSE)="High",30,IF(VLOOKUP(A337,'Client Master Data'!A:G,4,FALSE)="Medium",20,10))+IF(VLOOKUP(A337,'Client Master Data'!A:G,7,FALSE)="Yes",40,0)+IF(C337="Yes",10,0)</f>
        <v>50</v>
      </c>
      <c r="F337" t="str">
        <f t="shared" si="5"/>
        <v>Medium</v>
      </c>
    </row>
    <row r="338" spans="1:6">
      <c r="A338">
        <v>1337</v>
      </c>
      <c r="B338" t="s">
        <v>1775</v>
      </c>
      <c r="C338" t="s">
        <v>20</v>
      </c>
      <c r="D338" t="s">
        <v>747</v>
      </c>
      <c r="E338">
        <f>IF(VLOOKUP(A338,'Client Master Data'!A:G,4,FALSE)="High",30,IF(VLOOKUP(A338,'Client Master Data'!A:G,4,FALSE)="Medium",20,10))+IF(VLOOKUP(A338,'Client Master Data'!A:G,7,FALSE)="Yes",40,0)+IF(C338="Yes",10,0)</f>
        <v>60</v>
      </c>
      <c r="F338" t="str">
        <f t="shared" si="5"/>
        <v>Medium</v>
      </c>
    </row>
    <row r="339" spans="1:6">
      <c r="A339">
        <v>1338</v>
      </c>
      <c r="B339" t="s">
        <v>1777</v>
      </c>
      <c r="C339" t="s">
        <v>20</v>
      </c>
      <c r="D339" t="s">
        <v>1179</v>
      </c>
      <c r="E339">
        <f>IF(VLOOKUP(A339,'Client Master Data'!A:G,4,FALSE)="High",30,IF(VLOOKUP(A339,'Client Master Data'!A:G,4,FALSE)="Medium",20,10))+IF(VLOOKUP(A339,'Client Master Data'!A:G,7,FALSE)="Yes",40,0)+IF(C339="Yes",10,0)</f>
        <v>40</v>
      </c>
      <c r="F339" t="str">
        <f t="shared" si="5"/>
        <v>Medium</v>
      </c>
    </row>
    <row r="340" spans="1:6">
      <c r="A340">
        <v>1339</v>
      </c>
      <c r="B340" t="s">
        <v>1776</v>
      </c>
      <c r="C340" t="s">
        <v>20</v>
      </c>
      <c r="D340" t="s">
        <v>703</v>
      </c>
      <c r="E340">
        <f>IF(VLOOKUP(A340,'Client Master Data'!A:G,4,FALSE)="High",30,IF(VLOOKUP(A340,'Client Master Data'!A:G,4,FALSE)="Medium",20,10))+IF(VLOOKUP(A340,'Client Master Data'!A:G,7,FALSE)="Yes",40,0)+IF(C340="Yes",10,0)</f>
        <v>30</v>
      </c>
      <c r="F340" t="str">
        <f t="shared" si="5"/>
        <v>Low</v>
      </c>
    </row>
    <row r="341" spans="1:6">
      <c r="A341">
        <v>1340</v>
      </c>
      <c r="B341" t="s">
        <v>1776</v>
      </c>
      <c r="C341" t="s">
        <v>14</v>
      </c>
      <c r="D341" t="s">
        <v>919</v>
      </c>
      <c r="E341">
        <f>IF(VLOOKUP(A341,'Client Master Data'!A:G,4,FALSE)="High",30,IF(VLOOKUP(A341,'Client Master Data'!A:G,4,FALSE)="Medium",20,10))+IF(VLOOKUP(A341,'Client Master Data'!A:G,7,FALSE)="Yes",40,0)+IF(C341="Yes",10,0)</f>
        <v>10</v>
      </c>
      <c r="F341" t="str">
        <f t="shared" si="5"/>
        <v>Low</v>
      </c>
    </row>
    <row r="342" spans="1:6">
      <c r="A342">
        <v>1341</v>
      </c>
      <c r="B342" t="s">
        <v>1775</v>
      </c>
      <c r="C342" t="s">
        <v>20</v>
      </c>
      <c r="D342" t="s">
        <v>1242</v>
      </c>
      <c r="E342">
        <f>IF(VLOOKUP(A342,'Client Master Data'!A:G,4,FALSE)="High",30,IF(VLOOKUP(A342,'Client Master Data'!A:G,4,FALSE)="Medium",20,10))+IF(VLOOKUP(A342,'Client Master Data'!A:G,7,FALSE)="Yes",40,0)+IF(C342="Yes",10,0)</f>
        <v>60</v>
      </c>
      <c r="F342" t="str">
        <f t="shared" si="5"/>
        <v>Medium</v>
      </c>
    </row>
    <row r="343" spans="1:6">
      <c r="A343">
        <v>1342</v>
      </c>
      <c r="B343" t="s">
        <v>1776</v>
      </c>
      <c r="C343" t="s">
        <v>14</v>
      </c>
      <c r="D343" t="s">
        <v>858</v>
      </c>
      <c r="E343">
        <f>IF(VLOOKUP(A343,'Client Master Data'!A:G,4,FALSE)="High",30,IF(VLOOKUP(A343,'Client Master Data'!A:G,4,FALSE)="Medium",20,10))+IF(VLOOKUP(A343,'Client Master Data'!A:G,7,FALSE)="Yes",40,0)+IF(C343="Yes",10,0)</f>
        <v>10</v>
      </c>
      <c r="F343" t="str">
        <f t="shared" si="5"/>
        <v>Low</v>
      </c>
    </row>
    <row r="344" spans="1:6">
      <c r="A344">
        <v>1343</v>
      </c>
      <c r="B344" t="s">
        <v>1776</v>
      </c>
      <c r="C344" t="s">
        <v>20</v>
      </c>
      <c r="D344" t="s">
        <v>1036</v>
      </c>
      <c r="E344">
        <f>IF(VLOOKUP(A344,'Client Master Data'!A:G,4,FALSE)="High",30,IF(VLOOKUP(A344,'Client Master Data'!A:G,4,FALSE)="Medium",20,10))+IF(VLOOKUP(A344,'Client Master Data'!A:G,7,FALSE)="Yes",40,0)+IF(C344="Yes",10,0)</f>
        <v>60</v>
      </c>
      <c r="F344" t="str">
        <f t="shared" si="5"/>
        <v>Medium</v>
      </c>
    </row>
    <row r="345" spans="1:6">
      <c r="A345">
        <v>1344</v>
      </c>
      <c r="B345" t="s">
        <v>1776</v>
      </c>
      <c r="C345" t="s">
        <v>14</v>
      </c>
      <c r="D345" t="s">
        <v>1735</v>
      </c>
      <c r="E345">
        <f>IF(VLOOKUP(A345,'Client Master Data'!A:G,4,FALSE)="High",30,IF(VLOOKUP(A345,'Client Master Data'!A:G,4,FALSE)="Medium",20,10))+IF(VLOOKUP(A345,'Client Master Data'!A:G,7,FALSE)="Yes",40,0)+IF(C345="Yes",10,0)</f>
        <v>70</v>
      </c>
      <c r="F345" t="str">
        <f t="shared" si="5"/>
        <v>Medium</v>
      </c>
    </row>
    <row r="346" spans="1:6">
      <c r="A346">
        <v>1345</v>
      </c>
      <c r="B346" t="s">
        <v>1777</v>
      </c>
      <c r="C346" t="s">
        <v>20</v>
      </c>
      <c r="D346" t="s">
        <v>1127</v>
      </c>
      <c r="E346">
        <f>IF(VLOOKUP(A346,'Client Master Data'!A:G,4,FALSE)="High",30,IF(VLOOKUP(A346,'Client Master Data'!A:G,4,FALSE)="Medium",20,10))+IF(VLOOKUP(A346,'Client Master Data'!A:G,7,FALSE)="Yes",40,0)+IF(C346="Yes",10,0)</f>
        <v>70</v>
      </c>
      <c r="F346" t="str">
        <f t="shared" si="5"/>
        <v>Medium</v>
      </c>
    </row>
    <row r="347" spans="1:6">
      <c r="A347">
        <v>1346</v>
      </c>
      <c r="B347" t="s">
        <v>1776</v>
      </c>
      <c r="C347" t="s">
        <v>14</v>
      </c>
      <c r="D347" t="s">
        <v>973</v>
      </c>
      <c r="E347">
        <f>IF(VLOOKUP(A347,'Client Master Data'!A:G,4,FALSE)="High",30,IF(VLOOKUP(A347,'Client Master Data'!A:G,4,FALSE)="Medium",20,10))+IF(VLOOKUP(A347,'Client Master Data'!A:G,7,FALSE)="Yes",40,0)+IF(C347="Yes",10,0)</f>
        <v>20</v>
      </c>
      <c r="F347" t="str">
        <f t="shared" si="5"/>
        <v>Low</v>
      </c>
    </row>
    <row r="348" spans="1:6">
      <c r="A348">
        <v>1347</v>
      </c>
      <c r="B348" t="s">
        <v>1776</v>
      </c>
      <c r="C348" t="s">
        <v>14</v>
      </c>
      <c r="D348" t="s">
        <v>886</v>
      </c>
      <c r="E348">
        <f>IF(VLOOKUP(A348,'Client Master Data'!A:G,4,FALSE)="High",30,IF(VLOOKUP(A348,'Client Master Data'!A:G,4,FALSE)="Medium",20,10))+IF(VLOOKUP(A348,'Client Master Data'!A:G,7,FALSE)="Yes",40,0)+IF(C348="Yes",10,0)</f>
        <v>30</v>
      </c>
      <c r="F348" t="str">
        <f t="shared" si="5"/>
        <v>Low</v>
      </c>
    </row>
    <row r="349" spans="1:6">
      <c r="A349">
        <v>1348</v>
      </c>
      <c r="B349" t="s">
        <v>1777</v>
      </c>
      <c r="C349" t="s">
        <v>20</v>
      </c>
      <c r="D349" t="s">
        <v>597</v>
      </c>
      <c r="E349">
        <f>IF(VLOOKUP(A349,'Client Master Data'!A:G,4,FALSE)="High",30,IF(VLOOKUP(A349,'Client Master Data'!A:G,4,FALSE)="Medium",20,10))+IF(VLOOKUP(A349,'Client Master Data'!A:G,7,FALSE)="Yes",40,0)+IF(C349="Yes",10,0)</f>
        <v>20</v>
      </c>
      <c r="F349" t="str">
        <f t="shared" si="5"/>
        <v>Low</v>
      </c>
    </row>
    <row r="350" spans="1:6">
      <c r="A350">
        <v>1349</v>
      </c>
      <c r="B350" t="s">
        <v>1775</v>
      </c>
      <c r="C350" t="s">
        <v>20</v>
      </c>
      <c r="D350" t="s">
        <v>1006</v>
      </c>
      <c r="E350">
        <f>IF(VLOOKUP(A350,'Client Master Data'!A:G,4,FALSE)="High",30,IF(VLOOKUP(A350,'Client Master Data'!A:G,4,FALSE)="Medium",20,10))+IF(VLOOKUP(A350,'Client Master Data'!A:G,7,FALSE)="Yes",40,0)+IF(C350="Yes",10,0)</f>
        <v>80</v>
      </c>
      <c r="F350" t="str">
        <f t="shared" si="5"/>
        <v>High</v>
      </c>
    </row>
    <row r="351" spans="1:6">
      <c r="A351">
        <v>1350</v>
      </c>
      <c r="B351" t="s">
        <v>1777</v>
      </c>
      <c r="C351" t="s">
        <v>20</v>
      </c>
      <c r="D351" t="s">
        <v>908</v>
      </c>
      <c r="E351">
        <f>IF(VLOOKUP(A351,'Client Master Data'!A:G,4,FALSE)="High",30,IF(VLOOKUP(A351,'Client Master Data'!A:G,4,FALSE)="Medium",20,10))+IF(VLOOKUP(A351,'Client Master Data'!A:G,7,FALSE)="Yes",40,0)+IF(C351="Yes",10,0)</f>
        <v>60</v>
      </c>
      <c r="F351" t="str">
        <f t="shared" si="5"/>
        <v>Medium</v>
      </c>
    </row>
    <row r="352" spans="1:6">
      <c r="A352">
        <v>1351</v>
      </c>
      <c r="B352" t="s">
        <v>1777</v>
      </c>
      <c r="C352" t="s">
        <v>14</v>
      </c>
      <c r="D352" t="s">
        <v>612</v>
      </c>
      <c r="E352">
        <f>IF(VLOOKUP(A352,'Client Master Data'!A:G,4,FALSE)="High",30,IF(VLOOKUP(A352,'Client Master Data'!A:G,4,FALSE)="Medium",20,10))+IF(VLOOKUP(A352,'Client Master Data'!A:G,7,FALSE)="Yes",40,0)+IF(C352="Yes",10,0)</f>
        <v>20</v>
      </c>
      <c r="F352" t="str">
        <f t="shared" si="5"/>
        <v>Low</v>
      </c>
    </row>
    <row r="353" spans="1:6">
      <c r="A353">
        <v>1352</v>
      </c>
      <c r="B353" t="s">
        <v>1775</v>
      </c>
      <c r="C353" t="s">
        <v>20</v>
      </c>
      <c r="D353" t="s">
        <v>590</v>
      </c>
      <c r="E353">
        <f>IF(VLOOKUP(A353,'Client Master Data'!A:G,4,FALSE)="High",30,IF(VLOOKUP(A353,'Client Master Data'!A:G,4,FALSE)="Medium",20,10))+IF(VLOOKUP(A353,'Client Master Data'!A:G,7,FALSE)="Yes",40,0)+IF(C353="Yes",10,0)</f>
        <v>80</v>
      </c>
      <c r="F353" t="str">
        <f t="shared" si="5"/>
        <v>High</v>
      </c>
    </row>
    <row r="354" spans="1:6">
      <c r="A354">
        <v>1353</v>
      </c>
      <c r="B354" t="s">
        <v>1775</v>
      </c>
      <c r="C354" t="s">
        <v>20</v>
      </c>
      <c r="D354" t="s">
        <v>1445</v>
      </c>
      <c r="E354">
        <f>IF(VLOOKUP(A354,'Client Master Data'!A:G,4,FALSE)="High",30,IF(VLOOKUP(A354,'Client Master Data'!A:G,4,FALSE)="Medium",20,10))+IF(VLOOKUP(A354,'Client Master Data'!A:G,7,FALSE)="Yes",40,0)+IF(C354="Yes",10,0)</f>
        <v>70</v>
      </c>
      <c r="F354" t="str">
        <f t="shared" si="5"/>
        <v>Medium</v>
      </c>
    </row>
    <row r="355" spans="1:6">
      <c r="A355">
        <v>1354</v>
      </c>
      <c r="B355" t="s">
        <v>1776</v>
      </c>
      <c r="C355" t="s">
        <v>14</v>
      </c>
      <c r="D355" t="s">
        <v>820</v>
      </c>
      <c r="E355">
        <f>IF(VLOOKUP(A355,'Client Master Data'!A:G,4,FALSE)="High",30,IF(VLOOKUP(A355,'Client Master Data'!A:G,4,FALSE)="Medium",20,10))+IF(VLOOKUP(A355,'Client Master Data'!A:G,7,FALSE)="Yes",40,0)+IF(C355="Yes",10,0)</f>
        <v>20</v>
      </c>
      <c r="F355" t="str">
        <f t="shared" si="5"/>
        <v>Low</v>
      </c>
    </row>
    <row r="356" spans="1:6">
      <c r="A356">
        <v>1355</v>
      </c>
      <c r="B356" t="s">
        <v>1777</v>
      </c>
      <c r="C356" t="s">
        <v>20</v>
      </c>
      <c r="D356" t="s">
        <v>1400</v>
      </c>
      <c r="E356">
        <f>IF(VLOOKUP(A356,'Client Master Data'!A:G,4,FALSE)="High",30,IF(VLOOKUP(A356,'Client Master Data'!A:G,4,FALSE)="Medium",20,10))+IF(VLOOKUP(A356,'Client Master Data'!A:G,7,FALSE)="Yes",40,0)+IF(C356="Yes",10,0)</f>
        <v>20</v>
      </c>
      <c r="F356" t="str">
        <f t="shared" si="5"/>
        <v>Low</v>
      </c>
    </row>
    <row r="357" spans="1:6">
      <c r="A357">
        <v>1356</v>
      </c>
      <c r="B357" t="s">
        <v>1777</v>
      </c>
      <c r="C357" t="s">
        <v>20</v>
      </c>
      <c r="D357" t="s">
        <v>713</v>
      </c>
      <c r="E357">
        <f>IF(VLOOKUP(A357,'Client Master Data'!A:G,4,FALSE)="High",30,IF(VLOOKUP(A357,'Client Master Data'!A:G,4,FALSE)="Medium",20,10))+IF(VLOOKUP(A357,'Client Master Data'!A:G,7,FALSE)="Yes",40,0)+IF(C357="Yes",10,0)</f>
        <v>80</v>
      </c>
      <c r="F357" t="str">
        <f t="shared" si="5"/>
        <v>High</v>
      </c>
    </row>
    <row r="358" spans="1:6">
      <c r="A358">
        <v>1357</v>
      </c>
      <c r="B358" t="s">
        <v>1775</v>
      </c>
      <c r="C358" t="s">
        <v>14</v>
      </c>
      <c r="D358" t="s">
        <v>811</v>
      </c>
      <c r="E358">
        <f>IF(VLOOKUP(A358,'Client Master Data'!A:G,4,FALSE)="High",30,IF(VLOOKUP(A358,'Client Master Data'!A:G,4,FALSE)="Medium",20,10))+IF(VLOOKUP(A358,'Client Master Data'!A:G,7,FALSE)="Yes",40,0)+IF(C358="Yes",10,0)</f>
        <v>70</v>
      </c>
      <c r="F358" t="str">
        <f t="shared" si="5"/>
        <v>Medium</v>
      </c>
    </row>
    <row r="359" spans="1:6">
      <c r="A359">
        <v>1358</v>
      </c>
      <c r="B359" t="s">
        <v>1775</v>
      </c>
      <c r="C359" t="s">
        <v>14</v>
      </c>
      <c r="D359" t="s">
        <v>1033</v>
      </c>
      <c r="E359">
        <f>IF(VLOOKUP(A359,'Client Master Data'!A:G,4,FALSE)="High",30,IF(VLOOKUP(A359,'Client Master Data'!A:G,4,FALSE)="Medium",20,10))+IF(VLOOKUP(A359,'Client Master Data'!A:G,7,FALSE)="Yes",40,0)+IF(C359="Yes",10,0)</f>
        <v>30</v>
      </c>
      <c r="F359" t="str">
        <f t="shared" si="5"/>
        <v>Low</v>
      </c>
    </row>
    <row r="360" spans="1:6">
      <c r="A360">
        <v>1359</v>
      </c>
      <c r="B360" t="s">
        <v>1777</v>
      </c>
      <c r="C360" t="s">
        <v>20</v>
      </c>
      <c r="D360" t="s">
        <v>1066</v>
      </c>
      <c r="E360">
        <f>IF(VLOOKUP(A360,'Client Master Data'!A:G,4,FALSE)="High",30,IF(VLOOKUP(A360,'Client Master Data'!A:G,4,FALSE)="Medium",20,10))+IF(VLOOKUP(A360,'Client Master Data'!A:G,7,FALSE)="Yes",40,0)+IF(C360="Yes",10,0)</f>
        <v>80</v>
      </c>
      <c r="F360" t="str">
        <f t="shared" si="5"/>
        <v>High</v>
      </c>
    </row>
    <row r="361" spans="1:6">
      <c r="A361">
        <v>1360</v>
      </c>
      <c r="B361" t="s">
        <v>1775</v>
      </c>
      <c r="C361" t="s">
        <v>20</v>
      </c>
      <c r="D361" t="s">
        <v>669</v>
      </c>
      <c r="E361">
        <f>IF(VLOOKUP(A361,'Client Master Data'!A:G,4,FALSE)="High",30,IF(VLOOKUP(A361,'Client Master Data'!A:G,4,FALSE)="Medium",20,10))+IF(VLOOKUP(A361,'Client Master Data'!A:G,7,FALSE)="Yes",40,0)+IF(C361="Yes",10,0)</f>
        <v>70</v>
      </c>
      <c r="F361" t="str">
        <f t="shared" si="5"/>
        <v>Medium</v>
      </c>
    </row>
    <row r="362" spans="1:6">
      <c r="A362">
        <v>1361</v>
      </c>
      <c r="B362" t="s">
        <v>1775</v>
      </c>
      <c r="C362" t="s">
        <v>20</v>
      </c>
      <c r="D362" t="s">
        <v>625</v>
      </c>
      <c r="E362">
        <f>IF(VLOOKUP(A362,'Client Master Data'!A:G,4,FALSE)="High",30,IF(VLOOKUP(A362,'Client Master Data'!A:G,4,FALSE)="Medium",20,10))+IF(VLOOKUP(A362,'Client Master Data'!A:G,7,FALSE)="Yes",40,0)+IF(C362="Yes",10,0)</f>
        <v>20</v>
      </c>
      <c r="F362" t="str">
        <f t="shared" si="5"/>
        <v>Low</v>
      </c>
    </row>
    <row r="363" spans="1:6">
      <c r="A363">
        <v>1362</v>
      </c>
      <c r="B363" t="s">
        <v>1775</v>
      </c>
      <c r="C363" t="s">
        <v>20</v>
      </c>
      <c r="D363" t="s">
        <v>866</v>
      </c>
      <c r="E363">
        <f>IF(VLOOKUP(A363,'Client Master Data'!A:G,4,FALSE)="High",30,IF(VLOOKUP(A363,'Client Master Data'!A:G,4,FALSE)="Medium",20,10))+IF(VLOOKUP(A363,'Client Master Data'!A:G,7,FALSE)="Yes",40,0)+IF(C363="Yes",10,0)</f>
        <v>40</v>
      </c>
      <c r="F363" t="str">
        <f t="shared" si="5"/>
        <v>Medium</v>
      </c>
    </row>
    <row r="364" spans="1:6">
      <c r="A364">
        <v>1363</v>
      </c>
      <c r="B364" t="s">
        <v>1776</v>
      </c>
      <c r="C364" t="s">
        <v>20</v>
      </c>
      <c r="D364" t="s">
        <v>682</v>
      </c>
      <c r="E364">
        <f>IF(VLOOKUP(A364,'Client Master Data'!A:G,4,FALSE)="High",30,IF(VLOOKUP(A364,'Client Master Data'!A:G,4,FALSE)="Medium",20,10))+IF(VLOOKUP(A364,'Client Master Data'!A:G,7,FALSE)="Yes",40,0)+IF(C364="Yes",10,0)</f>
        <v>60</v>
      </c>
      <c r="F364" t="str">
        <f t="shared" si="5"/>
        <v>Medium</v>
      </c>
    </row>
    <row r="365" spans="1:6">
      <c r="A365">
        <v>1364</v>
      </c>
      <c r="B365" t="s">
        <v>1775</v>
      </c>
      <c r="C365" t="s">
        <v>14</v>
      </c>
      <c r="D365" t="s">
        <v>658</v>
      </c>
      <c r="E365">
        <f>IF(VLOOKUP(A365,'Client Master Data'!A:G,4,FALSE)="High",30,IF(VLOOKUP(A365,'Client Master Data'!A:G,4,FALSE)="Medium",20,10))+IF(VLOOKUP(A365,'Client Master Data'!A:G,7,FALSE)="Yes",40,0)+IF(C365="Yes",10,0)</f>
        <v>70</v>
      </c>
      <c r="F365" t="str">
        <f t="shared" si="5"/>
        <v>Medium</v>
      </c>
    </row>
    <row r="366" spans="1:6">
      <c r="A366">
        <v>1365</v>
      </c>
      <c r="B366" t="s">
        <v>1776</v>
      </c>
      <c r="C366" t="s">
        <v>14</v>
      </c>
      <c r="D366" t="s">
        <v>1400</v>
      </c>
      <c r="E366">
        <f>IF(VLOOKUP(A366,'Client Master Data'!A:G,4,FALSE)="High",30,IF(VLOOKUP(A366,'Client Master Data'!A:G,4,FALSE)="Medium",20,10))+IF(VLOOKUP(A366,'Client Master Data'!A:G,7,FALSE)="Yes",40,0)+IF(C366="Yes",10,0)</f>
        <v>20</v>
      </c>
      <c r="F366" t="str">
        <f t="shared" si="5"/>
        <v>Low</v>
      </c>
    </row>
    <row r="367" spans="1:6">
      <c r="A367">
        <v>1366</v>
      </c>
      <c r="B367" t="s">
        <v>1775</v>
      </c>
      <c r="C367" t="s">
        <v>20</v>
      </c>
      <c r="D367" t="s">
        <v>660</v>
      </c>
      <c r="E367">
        <f>IF(VLOOKUP(A367,'Client Master Data'!A:G,4,FALSE)="High",30,IF(VLOOKUP(A367,'Client Master Data'!A:G,4,FALSE)="Medium",20,10))+IF(VLOOKUP(A367,'Client Master Data'!A:G,7,FALSE)="Yes",40,0)+IF(C367="Yes",10,0)</f>
        <v>20</v>
      </c>
      <c r="F367" t="str">
        <f t="shared" si="5"/>
        <v>Low</v>
      </c>
    </row>
    <row r="368" spans="1:6">
      <c r="A368">
        <v>1367</v>
      </c>
      <c r="B368" t="s">
        <v>1776</v>
      </c>
      <c r="C368" t="s">
        <v>14</v>
      </c>
      <c r="D368" t="s">
        <v>912</v>
      </c>
      <c r="E368">
        <f>IF(VLOOKUP(A368,'Client Master Data'!A:G,4,FALSE)="High",30,IF(VLOOKUP(A368,'Client Master Data'!A:G,4,FALSE)="Medium",20,10))+IF(VLOOKUP(A368,'Client Master Data'!A:G,7,FALSE)="Yes",40,0)+IF(C368="Yes",10,0)</f>
        <v>30</v>
      </c>
      <c r="F368" t="str">
        <f t="shared" si="5"/>
        <v>Low</v>
      </c>
    </row>
    <row r="369" spans="1:6">
      <c r="A369">
        <v>1368</v>
      </c>
      <c r="B369" t="s">
        <v>1777</v>
      </c>
      <c r="C369" t="s">
        <v>14</v>
      </c>
      <c r="D369" t="s">
        <v>1046</v>
      </c>
      <c r="E369">
        <f>IF(VLOOKUP(A369,'Client Master Data'!A:G,4,FALSE)="High",30,IF(VLOOKUP(A369,'Client Master Data'!A:G,4,FALSE)="Medium",20,10))+IF(VLOOKUP(A369,'Client Master Data'!A:G,7,FALSE)="Yes",40,0)+IF(C369="Yes",10,0)</f>
        <v>60</v>
      </c>
      <c r="F369" t="str">
        <f t="shared" si="5"/>
        <v>Medium</v>
      </c>
    </row>
    <row r="370" spans="1:6">
      <c r="A370">
        <v>1369</v>
      </c>
      <c r="B370" t="s">
        <v>1776</v>
      </c>
      <c r="C370" t="s">
        <v>14</v>
      </c>
      <c r="D370" t="s">
        <v>1133</v>
      </c>
      <c r="E370">
        <f>IF(VLOOKUP(A370,'Client Master Data'!A:G,4,FALSE)="High",30,IF(VLOOKUP(A370,'Client Master Data'!A:G,4,FALSE)="Medium",20,10))+IF(VLOOKUP(A370,'Client Master Data'!A:G,7,FALSE)="Yes",40,0)+IF(C370="Yes",10,0)</f>
        <v>30</v>
      </c>
      <c r="F370" t="str">
        <f t="shared" si="5"/>
        <v>Low</v>
      </c>
    </row>
    <row r="371" spans="1:6">
      <c r="A371">
        <v>1370</v>
      </c>
      <c r="B371" t="s">
        <v>1777</v>
      </c>
      <c r="C371" t="s">
        <v>20</v>
      </c>
      <c r="D371" t="s">
        <v>604</v>
      </c>
      <c r="E371">
        <f>IF(VLOOKUP(A371,'Client Master Data'!A:G,4,FALSE)="High",30,IF(VLOOKUP(A371,'Client Master Data'!A:G,4,FALSE)="Medium",20,10))+IF(VLOOKUP(A371,'Client Master Data'!A:G,7,FALSE)="Yes",40,0)+IF(C371="Yes",10,0)</f>
        <v>60</v>
      </c>
      <c r="F371" t="str">
        <f t="shared" si="5"/>
        <v>Medium</v>
      </c>
    </row>
    <row r="372" spans="1:6">
      <c r="A372">
        <v>1371</v>
      </c>
      <c r="B372" t="s">
        <v>1776</v>
      </c>
      <c r="C372" t="s">
        <v>20</v>
      </c>
      <c r="D372" t="s">
        <v>656</v>
      </c>
      <c r="E372">
        <f>IF(VLOOKUP(A372,'Client Master Data'!A:G,4,FALSE)="High",30,IF(VLOOKUP(A372,'Client Master Data'!A:G,4,FALSE)="Medium",20,10))+IF(VLOOKUP(A372,'Client Master Data'!A:G,7,FALSE)="Yes",40,0)+IF(C372="Yes",10,0)</f>
        <v>80</v>
      </c>
      <c r="F372" t="str">
        <f t="shared" si="5"/>
        <v>High</v>
      </c>
    </row>
    <row r="373" spans="1:6">
      <c r="A373">
        <v>1372</v>
      </c>
      <c r="B373" t="s">
        <v>1775</v>
      </c>
      <c r="C373" t="s">
        <v>14</v>
      </c>
      <c r="D373" t="s">
        <v>861</v>
      </c>
      <c r="E373">
        <f>IF(VLOOKUP(A373,'Client Master Data'!A:G,4,FALSE)="High",30,IF(VLOOKUP(A373,'Client Master Data'!A:G,4,FALSE)="Medium",20,10))+IF(VLOOKUP(A373,'Client Master Data'!A:G,7,FALSE)="Yes",40,0)+IF(C373="Yes",10,0)</f>
        <v>30</v>
      </c>
      <c r="F373" t="str">
        <f t="shared" si="5"/>
        <v>Low</v>
      </c>
    </row>
    <row r="374" spans="1:6">
      <c r="A374">
        <v>1373</v>
      </c>
      <c r="B374" t="s">
        <v>1775</v>
      </c>
      <c r="C374" t="s">
        <v>14</v>
      </c>
      <c r="D374" t="s">
        <v>1066</v>
      </c>
      <c r="E374">
        <f>IF(VLOOKUP(A374,'Client Master Data'!A:G,4,FALSE)="High",30,IF(VLOOKUP(A374,'Client Master Data'!A:G,4,FALSE)="Medium",20,10))+IF(VLOOKUP(A374,'Client Master Data'!A:G,7,FALSE)="Yes",40,0)+IF(C374="Yes",10,0)</f>
        <v>60</v>
      </c>
      <c r="F374" t="str">
        <f t="shared" si="5"/>
        <v>Medium</v>
      </c>
    </row>
    <row r="375" spans="1:6">
      <c r="A375">
        <v>1374</v>
      </c>
      <c r="B375" t="s">
        <v>1776</v>
      </c>
      <c r="C375" t="s">
        <v>20</v>
      </c>
      <c r="D375" t="s">
        <v>798</v>
      </c>
      <c r="E375">
        <f>IF(VLOOKUP(A375,'Client Master Data'!A:G,4,FALSE)="High",30,IF(VLOOKUP(A375,'Client Master Data'!A:G,4,FALSE)="Medium",20,10))+IF(VLOOKUP(A375,'Client Master Data'!A:G,7,FALSE)="Yes",40,0)+IF(C375="Yes",10,0)</f>
        <v>30</v>
      </c>
      <c r="F375" t="str">
        <f t="shared" si="5"/>
        <v>Low</v>
      </c>
    </row>
    <row r="376" spans="1:6">
      <c r="A376">
        <v>1375</v>
      </c>
      <c r="B376" t="s">
        <v>1775</v>
      </c>
      <c r="C376" t="s">
        <v>14</v>
      </c>
      <c r="D376" t="s">
        <v>587</v>
      </c>
      <c r="E376">
        <f>IF(VLOOKUP(A376,'Client Master Data'!A:G,4,FALSE)="High",30,IF(VLOOKUP(A376,'Client Master Data'!A:G,4,FALSE)="Medium",20,10))+IF(VLOOKUP(A376,'Client Master Data'!A:G,7,FALSE)="Yes",40,0)+IF(C376="Yes",10,0)</f>
        <v>10</v>
      </c>
      <c r="F376" t="str">
        <f t="shared" si="5"/>
        <v>Low</v>
      </c>
    </row>
    <row r="377" spans="1:6">
      <c r="A377">
        <v>1376</v>
      </c>
      <c r="B377" t="s">
        <v>1775</v>
      </c>
      <c r="C377" t="s">
        <v>20</v>
      </c>
      <c r="D377" t="s">
        <v>1014</v>
      </c>
      <c r="E377">
        <f>IF(VLOOKUP(A377,'Client Master Data'!A:G,4,FALSE)="High",30,IF(VLOOKUP(A377,'Client Master Data'!A:G,4,FALSE)="Medium",20,10))+IF(VLOOKUP(A377,'Client Master Data'!A:G,7,FALSE)="Yes",40,0)+IF(C377="Yes",10,0)</f>
        <v>80</v>
      </c>
      <c r="F377" t="str">
        <f t="shared" si="5"/>
        <v>High</v>
      </c>
    </row>
    <row r="378" spans="1:6">
      <c r="A378">
        <v>1377</v>
      </c>
      <c r="B378" t="s">
        <v>1776</v>
      </c>
      <c r="C378" t="s">
        <v>20</v>
      </c>
      <c r="D378" t="s">
        <v>847</v>
      </c>
      <c r="E378">
        <f>IF(VLOOKUP(A378,'Client Master Data'!A:G,4,FALSE)="High",30,IF(VLOOKUP(A378,'Client Master Data'!A:G,4,FALSE)="Medium",20,10))+IF(VLOOKUP(A378,'Client Master Data'!A:G,7,FALSE)="Yes",40,0)+IF(C378="Yes",10,0)</f>
        <v>20</v>
      </c>
      <c r="F378" t="str">
        <f t="shared" si="5"/>
        <v>Low</v>
      </c>
    </row>
    <row r="379" spans="1:6">
      <c r="A379">
        <v>1378</v>
      </c>
      <c r="B379" t="s">
        <v>1776</v>
      </c>
      <c r="C379" t="s">
        <v>20</v>
      </c>
      <c r="D379" t="s">
        <v>1445</v>
      </c>
      <c r="E379">
        <f>IF(VLOOKUP(A379,'Client Master Data'!A:G,4,FALSE)="High",30,IF(VLOOKUP(A379,'Client Master Data'!A:G,4,FALSE)="Medium",20,10))+IF(VLOOKUP(A379,'Client Master Data'!A:G,7,FALSE)="Yes",40,0)+IF(C379="Yes",10,0)</f>
        <v>20</v>
      </c>
      <c r="F379" t="str">
        <f t="shared" si="5"/>
        <v>Low</v>
      </c>
    </row>
    <row r="380" spans="1:6">
      <c r="A380">
        <v>1379</v>
      </c>
      <c r="B380" t="s">
        <v>1777</v>
      </c>
      <c r="C380" t="s">
        <v>20</v>
      </c>
      <c r="D380" t="s">
        <v>981</v>
      </c>
      <c r="E380">
        <f>IF(VLOOKUP(A380,'Client Master Data'!A:G,4,FALSE)="High",30,IF(VLOOKUP(A380,'Client Master Data'!A:G,4,FALSE)="Medium",20,10))+IF(VLOOKUP(A380,'Client Master Data'!A:G,7,FALSE)="Yes",40,0)+IF(C380="Yes",10,0)</f>
        <v>70</v>
      </c>
      <c r="F380" t="str">
        <f t="shared" si="5"/>
        <v>Medium</v>
      </c>
    </row>
    <row r="381" spans="1:6">
      <c r="A381">
        <v>1380</v>
      </c>
      <c r="B381" t="s">
        <v>1775</v>
      </c>
      <c r="C381" t="s">
        <v>20</v>
      </c>
      <c r="D381" t="s">
        <v>809</v>
      </c>
      <c r="E381">
        <f>IF(VLOOKUP(A381,'Client Master Data'!A:G,4,FALSE)="High",30,IF(VLOOKUP(A381,'Client Master Data'!A:G,4,FALSE)="Medium",20,10))+IF(VLOOKUP(A381,'Client Master Data'!A:G,7,FALSE)="Yes",40,0)+IF(C381="Yes",10,0)</f>
        <v>40</v>
      </c>
      <c r="F381" t="str">
        <f t="shared" si="5"/>
        <v>Medium</v>
      </c>
    </row>
    <row r="382" spans="1:6">
      <c r="A382">
        <v>1381</v>
      </c>
      <c r="B382" t="s">
        <v>1777</v>
      </c>
      <c r="C382" t="s">
        <v>14</v>
      </c>
      <c r="D382" t="s">
        <v>863</v>
      </c>
      <c r="E382">
        <f>IF(VLOOKUP(A382,'Client Master Data'!A:G,4,FALSE)="High",30,IF(VLOOKUP(A382,'Client Master Data'!A:G,4,FALSE)="Medium",20,10))+IF(VLOOKUP(A382,'Client Master Data'!A:G,7,FALSE)="Yes",40,0)+IF(C382="Yes",10,0)</f>
        <v>30</v>
      </c>
      <c r="F382" t="str">
        <f t="shared" si="5"/>
        <v>Low</v>
      </c>
    </row>
    <row r="383" spans="1:6">
      <c r="A383">
        <v>1382</v>
      </c>
      <c r="B383" t="s">
        <v>1777</v>
      </c>
      <c r="C383" t="s">
        <v>14</v>
      </c>
      <c r="D383" t="s">
        <v>587</v>
      </c>
      <c r="E383">
        <f>IF(VLOOKUP(A383,'Client Master Data'!A:G,4,FALSE)="High",30,IF(VLOOKUP(A383,'Client Master Data'!A:G,4,FALSE)="Medium",20,10))+IF(VLOOKUP(A383,'Client Master Data'!A:G,7,FALSE)="Yes",40,0)+IF(C383="Yes",10,0)</f>
        <v>60</v>
      </c>
      <c r="F383" t="str">
        <f t="shared" si="5"/>
        <v>Medium</v>
      </c>
    </row>
    <row r="384" spans="1:6">
      <c r="A384">
        <v>1383</v>
      </c>
      <c r="B384" t="s">
        <v>1777</v>
      </c>
      <c r="C384" t="s">
        <v>20</v>
      </c>
      <c r="D384" t="s">
        <v>836</v>
      </c>
      <c r="E384">
        <f>IF(VLOOKUP(A384,'Client Master Data'!A:G,4,FALSE)="High",30,IF(VLOOKUP(A384,'Client Master Data'!A:G,4,FALSE)="Medium",20,10))+IF(VLOOKUP(A384,'Client Master Data'!A:G,7,FALSE)="Yes",40,0)+IF(C384="Yes",10,0)</f>
        <v>80</v>
      </c>
      <c r="F384" t="str">
        <f t="shared" si="5"/>
        <v>High</v>
      </c>
    </row>
    <row r="385" spans="1:6">
      <c r="A385">
        <v>1384</v>
      </c>
      <c r="B385" t="s">
        <v>1775</v>
      </c>
      <c r="C385" t="s">
        <v>20</v>
      </c>
      <c r="D385" t="s">
        <v>967</v>
      </c>
      <c r="E385">
        <f>IF(VLOOKUP(A385,'Client Master Data'!A:G,4,FALSE)="High",30,IF(VLOOKUP(A385,'Client Master Data'!A:G,4,FALSE)="Medium",20,10))+IF(VLOOKUP(A385,'Client Master Data'!A:G,7,FALSE)="Yes",40,0)+IF(C385="Yes",10,0)</f>
        <v>70</v>
      </c>
      <c r="F385" t="str">
        <f t="shared" si="5"/>
        <v>Medium</v>
      </c>
    </row>
    <row r="386" spans="1:6">
      <c r="A386">
        <v>1385</v>
      </c>
      <c r="B386" t="s">
        <v>1776</v>
      </c>
      <c r="C386" t="s">
        <v>20</v>
      </c>
      <c r="D386" t="s">
        <v>680</v>
      </c>
      <c r="E386">
        <f>IF(VLOOKUP(A386,'Client Master Data'!A:G,4,FALSE)="High",30,IF(VLOOKUP(A386,'Client Master Data'!A:G,4,FALSE)="Medium",20,10))+IF(VLOOKUP(A386,'Client Master Data'!A:G,7,FALSE)="Yes",40,0)+IF(C386="Yes",10,0)</f>
        <v>60</v>
      </c>
      <c r="F386" t="str">
        <f t="shared" ref="F386:F449" si="6">IF(E386&lt;=30,"Low",IF(E386&lt;=70,"Medium","High"))</f>
        <v>Medium</v>
      </c>
    </row>
    <row r="387" spans="1:6">
      <c r="A387">
        <v>1386</v>
      </c>
      <c r="B387" t="s">
        <v>1775</v>
      </c>
      <c r="C387" t="s">
        <v>20</v>
      </c>
      <c r="D387" t="s">
        <v>1505</v>
      </c>
      <c r="E387">
        <f>IF(VLOOKUP(A387,'Client Master Data'!A:G,4,FALSE)="High",30,IF(VLOOKUP(A387,'Client Master Data'!A:G,4,FALSE)="Medium",20,10))+IF(VLOOKUP(A387,'Client Master Data'!A:G,7,FALSE)="Yes",40,0)+IF(C387="Yes",10,0)</f>
        <v>60</v>
      </c>
      <c r="F387" t="str">
        <f t="shared" si="6"/>
        <v>Medium</v>
      </c>
    </row>
    <row r="388" spans="1:6">
      <c r="A388">
        <v>1387</v>
      </c>
      <c r="B388" t="s">
        <v>1775</v>
      </c>
      <c r="C388" t="s">
        <v>14</v>
      </c>
      <c r="D388" t="s">
        <v>1467</v>
      </c>
      <c r="E388">
        <f>IF(VLOOKUP(A388,'Client Master Data'!A:G,4,FALSE)="High",30,IF(VLOOKUP(A388,'Client Master Data'!A:G,4,FALSE)="Medium",20,10))+IF(VLOOKUP(A388,'Client Master Data'!A:G,7,FALSE)="Yes",40,0)+IF(C388="Yes",10,0)</f>
        <v>50</v>
      </c>
      <c r="F388" t="str">
        <f t="shared" si="6"/>
        <v>Medium</v>
      </c>
    </row>
    <row r="389" spans="1:6">
      <c r="A389">
        <v>1388</v>
      </c>
      <c r="B389" t="s">
        <v>1776</v>
      </c>
      <c r="C389" t="s">
        <v>14</v>
      </c>
      <c r="D389" t="s">
        <v>635</v>
      </c>
      <c r="E389">
        <f>IF(VLOOKUP(A389,'Client Master Data'!A:G,4,FALSE)="High",30,IF(VLOOKUP(A389,'Client Master Data'!A:G,4,FALSE)="Medium",20,10))+IF(VLOOKUP(A389,'Client Master Data'!A:G,7,FALSE)="Yes",40,0)+IF(C389="Yes",10,0)</f>
        <v>20</v>
      </c>
      <c r="F389" t="str">
        <f t="shared" si="6"/>
        <v>Low</v>
      </c>
    </row>
    <row r="390" spans="1:6">
      <c r="A390">
        <v>1389</v>
      </c>
      <c r="B390" t="s">
        <v>1775</v>
      </c>
      <c r="C390" t="s">
        <v>14</v>
      </c>
      <c r="D390" t="s">
        <v>1224</v>
      </c>
      <c r="E390">
        <f>IF(VLOOKUP(A390,'Client Master Data'!A:G,4,FALSE)="High",30,IF(VLOOKUP(A390,'Client Master Data'!A:G,4,FALSE)="Medium",20,10))+IF(VLOOKUP(A390,'Client Master Data'!A:G,7,FALSE)="Yes",40,0)+IF(C390="Yes",10,0)</f>
        <v>70</v>
      </c>
      <c r="F390" t="str">
        <f t="shared" si="6"/>
        <v>Medium</v>
      </c>
    </row>
    <row r="391" spans="1:6">
      <c r="A391">
        <v>1390</v>
      </c>
      <c r="B391" t="s">
        <v>1777</v>
      </c>
      <c r="C391" t="s">
        <v>14</v>
      </c>
      <c r="D391" t="s">
        <v>845</v>
      </c>
      <c r="E391">
        <f>IF(VLOOKUP(A391,'Client Master Data'!A:G,4,FALSE)="High",30,IF(VLOOKUP(A391,'Client Master Data'!A:G,4,FALSE)="Medium",20,10))+IF(VLOOKUP(A391,'Client Master Data'!A:G,7,FALSE)="Yes",40,0)+IF(C391="Yes",10,0)</f>
        <v>20</v>
      </c>
      <c r="F391" t="str">
        <f t="shared" si="6"/>
        <v>Low</v>
      </c>
    </row>
    <row r="392" spans="1:6">
      <c r="A392">
        <v>1391</v>
      </c>
      <c r="B392" t="s">
        <v>1775</v>
      </c>
      <c r="C392" t="s">
        <v>14</v>
      </c>
      <c r="D392" t="s">
        <v>939</v>
      </c>
      <c r="E392">
        <f>IF(VLOOKUP(A392,'Client Master Data'!A:G,4,FALSE)="High",30,IF(VLOOKUP(A392,'Client Master Data'!A:G,4,FALSE)="Medium",20,10))+IF(VLOOKUP(A392,'Client Master Data'!A:G,7,FALSE)="Yes",40,0)+IF(C392="Yes",10,0)</f>
        <v>20</v>
      </c>
      <c r="F392" t="str">
        <f t="shared" si="6"/>
        <v>Low</v>
      </c>
    </row>
    <row r="393" spans="1:6">
      <c r="A393">
        <v>1392</v>
      </c>
      <c r="B393" t="s">
        <v>1775</v>
      </c>
      <c r="C393" t="s">
        <v>14</v>
      </c>
      <c r="D393" t="s">
        <v>620</v>
      </c>
      <c r="E393">
        <f>IF(VLOOKUP(A393,'Client Master Data'!A:G,4,FALSE)="High",30,IF(VLOOKUP(A393,'Client Master Data'!A:G,4,FALSE)="Medium",20,10))+IF(VLOOKUP(A393,'Client Master Data'!A:G,7,FALSE)="Yes",40,0)+IF(C393="Yes",10,0)</f>
        <v>50</v>
      </c>
      <c r="F393" t="str">
        <f t="shared" si="6"/>
        <v>Medium</v>
      </c>
    </row>
    <row r="394" spans="1:6">
      <c r="A394">
        <v>1393</v>
      </c>
      <c r="B394" t="s">
        <v>1777</v>
      </c>
      <c r="C394" t="s">
        <v>14</v>
      </c>
      <c r="D394" t="s">
        <v>1370</v>
      </c>
      <c r="E394">
        <f>IF(VLOOKUP(A394,'Client Master Data'!A:G,4,FALSE)="High",30,IF(VLOOKUP(A394,'Client Master Data'!A:G,4,FALSE)="Medium",20,10))+IF(VLOOKUP(A394,'Client Master Data'!A:G,7,FALSE)="Yes",40,0)+IF(C394="Yes",10,0)</f>
        <v>70</v>
      </c>
      <c r="F394" t="str">
        <f t="shared" si="6"/>
        <v>Medium</v>
      </c>
    </row>
    <row r="395" spans="1:6">
      <c r="A395">
        <v>1394</v>
      </c>
      <c r="B395" t="s">
        <v>1776</v>
      </c>
      <c r="C395" t="s">
        <v>14</v>
      </c>
      <c r="D395" t="s">
        <v>1179</v>
      </c>
      <c r="E395">
        <f>IF(VLOOKUP(A395,'Client Master Data'!A:G,4,FALSE)="High",30,IF(VLOOKUP(A395,'Client Master Data'!A:G,4,FALSE)="Medium",20,10))+IF(VLOOKUP(A395,'Client Master Data'!A:G,7,FALSE)="Yes",40,0)+IF(C395="Yes",10,0)</f>
        <v>10</v>
      </c>
      <c r="F395" t="str">
        <f t="shared" si="6"/>
        <v>Low</v>
      </c>
    </row>
    <row r="396" spans="1:6">
      <c r="A396">
        <v>1395</v>
      </c>
      <c r="B396" t="s">
        <v>1777</v>
      </c>
      <c r="C396" t="s">
        <v>20</v>
      </c>
      <c r="D396" t="s">
        <v>616</v>
      </c>
      <c r="E396">
        <f>IF(VLOOKUP(A396,'Client Master Data'!A:G,4,FALSE)="High",30,IF(VLOOKUP(A396,'Client Master Data'!A:G,4,FALSE)="Medium",20,10))+IF(VLOOKUP(A396,'Client Master Data'!A:G,7,FALSE)="Yes",40,0)+IF(C396="Yes",10,0)</f>
        <v>40</v>
      </c>
      <c r="F396" t="str">
        <f t="shared" si="6"/>
        <v>Medium</v>
      </c>
    </row>
    <row r="397" spans="1:6">
      <c r="A397">
        <v>1396</v>
      </c>
      <c r="B397" t="s">
        <v>1775</v>
      </c>
      <c r="C397" t="s">
        <v>20</v>
      </c>
      <c r="D397" t="s">
        <v>762</v>
      </c>
      <c r="E397">
        <f>IF(VLOOKUP(A397,'Client Master Data'!A:G,4,FALSE)="High",30,IF(VLOOKUP(A397,'Client Master Data'!A:G,4,FALSE)="Medium",20,10))+IF(VLOOKUP(A397,'Client Master Data'!A:G,7,FALSE)="Yes",40,0)+IF(C397="Yes",10,0)</f>
        <v>20</v>
      </c>
      <c r="F397" t="str">
        <f t="shared" si="6"/>
        <v>Low</v>
      </c>
    </row>
    <row r="398" spans="1:6">
      <c r="A398">
        <v>1397</v>
      </c>
      <c r="B398" t="s">
        <v>1777</v>
      </c>
      <c r="C398" t="s">
        <v>20</v>
      </c>
      <c r="D398" t="s">
        <v>666</v>
      </c>
      <c r="E398">
        <f>IF(VLOOKUP(A398,'Client Master Data'!A:G,4,FALSE)="High",30,IF(VLOOKUP(A398,'Client Master Data'!A:G,4,FALSE)="Medium",20,10))+IF(VLOOKUP(A398,'Client Master Data'!A:G,7,FALSE)="Yes",40,0)+IF(C398="Yes",10,0)</f>
        <v>20</v>
      </c>
      <c r="F398" t="str">
        <f t="shared" si="6"/>
        <v>Low</v>
      </c>
    </row>
    <row r="399" spans="1:6">
      <c r="A399">
        <v>1398</v>
      </c>
      <c r="B399" t="s">
        <v>1777</v>
      </c>
      <c r="C399" t="s">
        <v>20</v>
      </c>
      <c r="D399" t="s">
        <v>669</v>
      </c>
      <c r="E399">
        <f>IF(VLOOKUP(A399,'Client Master Data'!A:G,4,FALSE)="High",30,IF(VLOOKUP(A399,'Client Master Data'!A:G,4,FALSE)="Medium",20,10))+IF(VLOOKUP(A399,'Client Master Data'!A:G,7,FALSE)="Yes",40,0)+IF(C399="Yes",10,0)</f>
        <v>20</v>
      </c>
      <c r="F399" t="str">
        <f t="shared" si="6"/>
        <v>Low</v>
      </c>
    </row>
    <row r="400" spans="1:6">
      <c r="A400">
        <v>1399</v>
      </c>
      <c r="B400" t="s">
        <v>1775</v>
      </c>
      <c r="C400" t="s">
        <v>20</v>
      </c>
      <c r="D400" t="s">
        <v>773</v>
      </c>
      <c r="E400">
        <f>IF(VLOOKUP(A400,'Client Master Data'!A:G,4,FALSE)="High",30,IF(VLOOKUP(A400,'Client Master Data'!A:G,4,FALSE)="Medium",20,10))+IF(VLOOKUP(A400,'Client Master Data'!A:G,7,FALSE)="Yes",40,0)+IF(C400="Yes",10,0)</f>
        <v>80</v>
      </c>
      <c r="F400" t="str">
        <f t="shared" si="6"/>
        <v>High</v>
      </c>
    </row>
    <row r="401" spans="1:6">
      <c r="A401">
        <v>1400</v>
      </c>
      <c r="B401" t="s">
        <v>1775</v>
      </c>
      <c r="C401" t="s">
        <v>20</v>
      </c>
      <c r="D401" t="s">
        <v>614</v>
      </c>
      <c r="E401">
        <f>IF(VLOOKUP(A401,'Client Master Data'!A:G,4,FALSE)="High",30,IF(VLOOKUP(A401,'Client Master Data'!A:G,4,FALSE)="Medium",20,10))+IF(VLOOKUP(A401,'Client Master Data'!A:G,7,FALSE)="Yes",40,0)+IF(C401="Yes",10,0)</f>
        <v>20</v>
      </c>
      <c r="F401" t="str">
        <f t="shared" si="6"/>
        <v>Low</v>
      </c>
    </row>
    <row r="402" spans="1:6">
      <c r="A402">
        <v>1401</v>
      </c>
      <c r="B402" t="s">
        <v>1777</v>
      </c>
      <c r="C402" t="s">
        <v>14</v>
      </c>
      <c r="D402" t="s">
        <v>680</v>
      </c>
      <c r="E402">
        <f>IF(VLOOKUP(A402,'Client Master Data'!A:G,4,FALSE)="High",30,IF(VLOOKUP(A402,'Client Master Data'!A:G,4,FALSE)="Medium",20,10))+IF(VLOOKUP(A402,'Client Master Data'!A:G,7,FALSE)="Yes",40,0)+IF(C402="Yes",10,0)</f>
        <v>20</v>
      </c>
      <c r="F402" t="str">
        <f t="shared" si="6"/>
        <v>Low</v>
      </c>
    </row>
    <row r="403" spans="1:6">
      <c r="A403">
        <v>1402</v>
      </c>
      <c r="B403" t="s">
        <v>1777</v>
      </c>
      <c r="C403" t="s">
        <v>14</v>
      </c>
      <c r="D403" t="s">
        <v>868</v>
      </c>
      <c r="E403">
        <f>IF(VLOOKUP(A403,'Client Master Data'!A:G,4,FALSE)="High",30,IF(VLOOKUP(A403,'Client Master Data'!A:G,4,FALSE)="Medium",20,10))+IF(VLOOKUP(A403,'Client Master Data'!A:G,7,FALSE)="Yes",40,0)+IF(C403="Yes",10,0)</f>
        <v>70</v>
      </c>
      <c r="F403" t="str">
        <f t="shared" si="6"/>
        <v>Medium</v>
      </c>
    </row>
    <row r="404" spans="1:6">
      <c r="A404">
        <v>1403</v>
      </c>
      <c r="B404" t="s">
        <v>1777</v>
      </c>
      <c r="C404" t="s">
        <v>20</v>
      </c>
      <c r="D404" t="s">
        <v>785</v>
      </c>
      <c r="E404">
        <f>IF(VLOOKUP(A404,'Client Master Data'!A:G,4,FALSE)="High",30,IF(VLOOKUP(A404,'Client Master Data'!A:G,4,FALSE)="Medium",20,10))+IF(VLOOKUP(A404,'Client Master Data'!A:G,7,FALSE)="Yes",40,0)+IF(C404="Yes",10,0)</f>
        <v>20</v>
      </c>
      <c r="F404" t="str">
        <f t="shared" si="6"/>
        <v>Low</v>
      </c>
    </row>
    <row r="405" spans="1:6">
      <c r="A405">
        <v>1404</v>
      </c>
      <c r="B405" t="s">
        <v>1776</v>
      </c>
      <c r="C405" t="s">
        <v>20</v>
      </c>
      <c r="D405" t="s">
        <v>919</v>
      </c>
      <c r="E405">
        <f>IF(VLOOKUP(A405,'Client Master Data'!A:G,4,FALSE)="High",30,IF(VLOOKUP(A405,'Client Master Data'!A:G,4,FALSE)="Medium",20,10))+IF(VLOOKUP(A405,'Client Master Data'!A:G,7,FALSE)="Yes",40,0)+IF(C405="Yes",10,0)</f>
        <v>60</v>
      </c>
      <c r="F405" t="str">
        <f t="shared" si="6"/>
        <v>Medium</v>
      </c>
    </row>
    <row r="406" spans="1:6">
      <c r="A406">
        <v>1405</v>
      </c>
      <c r="B406" t="s">
        <v>1776</v>
      </c>
      <c r="C406" t="s">
        <v>20</v>
      </c>
      <c r="D406" t="s">
        <v>851</v>
      </c>
      <c r="E406">
        <f>IF(VLOOKUP(A406,'Client Master Data'!A:G,4,FALSE)="High",30,IF(VLOOKUP(A406,'Client Master Data'!A:G,4,FALSE)="Medium",20,10))+IF(VLOOKUP(A406,'Client Master Data'!A:G,7,FALSE)="Yes",40,0)+IF(C406="Yes",10,0)</f>
        <v>20</v>
      </c>
      <c r="F406" t="str">
        <f t="shared" si="6"/>
        <v>Low</v>
      </c>
    </row>
    <row r="407" spans="1:6">
      <c r="A407">
        <v>1406</v>
      </c>
      <c r="B407" t="s">
        <v>1776</v>
      </c>
      <c r="C407" t="s">
        <v>20</v>
      </c>
      <c r="D407" t="s">
        <v>754</v>
      </c>
      <c r="E407">
        <f>IF(VLOOKUP(A407,'Client Master Data'!A:G,4,FALSE)="High",30,IF(VLOOKUP(A407,'Client Master Data'!A:G,4,FALSE)="Medium",20,10))+IF(VLOOKUP(A407,'Client Master Data'!A:G,7,FALSE)="Yes",40,0)+IF(C407="Yes",10,0)</f>
        <v>60</v>
      </c>
      <c r="F407" t="str">
        <f t="shared" si="6"/>
        <v>Medium</v>
      </c>
    </row>
    <row r="408" spans="1:6">
      <c r="A408">
        <v>1407</v>
      </c>
      <c r="B408" t="s">
        <v>1777</v>
      </c>
      <c r="C408" t="s">
        <v>20</v>
      </c>
      <c r="D408" t="s">
        <v>690</v>
      </c>
      <c r="E408">
        <f>IF(VLOOKUP(A408,'Client Master Data'!A:G,4,FALSE)="High",30,IF(VLOOKUP(A408,'Client Master Data'!A:G,4,FALSE)="Medium",20,10))+IF(VLOOKUP(A408,'Client Master Data'!A:G,7,FALSE)="Yes",40,0)+IF(C408="Yes",10,0)</f>
        <v>20</v>
      </c>
      <c r="F408" t="str">
        <f t="shared" si="6"/>
        <v>Low</v>
      </c>
    </row>
    <row r="409" spans="1:6">
      <c r="A409">
        <v>1408</v>
      </c>
      <c r="B409" t="s">
        <v>1776</v>
      </c>
      <c r="C409" t="s">
        <v>20</v>
      </c>
      <c r="D409" t="s">
        <v>700</v>
      </c>
      <c r="E409">
        <f>IF(VLOOKUP(A409,'Client Master Data'!A:G,4,FALSE)="High",30,IF(VLOOKUP(A409,'Client Master Data'!A:G,4,FALSE)="Medium",20,10))+IF(VLOOKUP(A409,'Client Master Data'!A:G,7,FALSE)="Yes",40,0)+IF(C409="Yes",10,0)</f>
        <v>20</v>
      </c>
      <c r="F409" t="str">
        <f t="shared" si="6"/>
        <v>Low</v>
      </c>
    </row>
    <row r="410" spans="1:6">
      <c r="A410">
        <v>1409</v>
      </c>
      <c r="B410" t="s">
        <v>1775</v>
      </c>
      <c r="C410" t="s">
        <v>14</v>
      </c>
      <c r="D410" t="s">
        <v>910</v>
      </c>
      <c r="E410">
        <f>IF(VLOOKUP(A410,'Client Master Data'!A:G,4,FALSE)="High",30,IF(VLOOKUP(A410,'Client Master Data'!A:G,4,FALSE)="Medium",20,10))+IF(VLOOKUP(A410,'Client Master Data'!A:G,7,FALSE)="Yes",40,0)+IF(C410="Yes",10,0)</f>
        <v>30</v>
      </c>
      <c r="F410" t="str">
        <f t="shared" si="6"/>
        <v>Low</v>
      </c>
    </row>
    <row r="411" spans="1:6">
      <c r="A411">
        <v>1410</v>
      </c>
      <c r="B411" t="s">
        <v>1775</v>
      </c>
      <c r="C411" t="s">
        <v>20</v>
      </c>
      <c r="D411" t="s">
        <v>654</v>
      </c>
      <c r="E411">
        <f>IF(VLOOKUP(A411,'Client Master Data'!A:G,4,FALSE)="High",30,IF(VLOOKUP(A411,'Client Master Data'!A:G,4,FALSE)="Medium",20,10))+IF(VLOOKUP(A411,'Client Master Data'!A:G,7,FALSE)="Yes",40,0)+IF(C411="Yes",10,0)</f>
        <v>80</v>
      </c>
      <c r="F411" t="str">
        <f t="shared" si="6"/>
        <v>High</v>
      </c>
    </row>
    <row r="412" spans="1:6">
      <c r="A412">
        <v>1411</v>
      </c>
      <c r="B412" t="s">
        <v>1777</v>
      </c>
      <c r="C412" t="s">
        <v>20</v>
      </c>
      <c r="D412" t="s">
        <v>1019</v>
      </c>
      <c r="E412">
        <f>IF(VLOOKUP(A412,'Client Master Data'!A:G,4,FALSE)="High",30,IF(VLOOKUP(A412,'Client Master Data'!A:G,4,FALSE)="Medium",20,10))+IF(VLOOKUP(A412,'Client Master Data'!A:G,7,FALSE)="Yes",40,0)+IF(C412="Yes",10,0)</f>
        <v>80</v>
      </c>
      <c r="F412" t="str">
        <f t="shared" si="6"/>
        <v>High</v>
      </c>
    </row>
    <row r="413" spans="1:6">
      <c r="A413">
        <v>1412</v>
      </c>
      <c r="B413" t="s">
        <v>1776</v>
      </c>
      <c r="C413" t="s">
        <v>20</v>
      </c>
      <c r="D413" t="s">
        <v>878</v>
      </c>
      <c r="E413">
        <f>IF(VLOOKUP(A413,'Client Master Data'!A:G,4,FALSE)="High",30,IF(VLOOKUP(A413,'Client Master Data'!A:G,4,FALSE)="Medium",20,10))+IF(VLOOKUP(A413,'Client Master Data'!A:G,7,FALSE)="Yes",40,0)+IF(C413="Yes",10,0)</f>
        <v>80</v>
      </c>
      <c r="F413" t="str">
        <f t="shared" si="6"/>
        <v>High</v>
      </c>
    </row>
    <row r="414" spans="1:6">
      <c r="A414">
        <v>1413</v>
      </c>
      <c r="B414" t="s">
        <v>1775</v>
      </c>
      <c r="C414" t="s">
        <v>20</v>
      </c>
      <c r="D414" t="s">
        <v>989</v>
      </c>
      <c r="E414">
        <f>IF(VLOOKUP(A414,'Client Master Data'!A:G,4,FALSE)="High",30,IF(VLOOKUP(A414,'Client Master Data'!A:G,4,FALSE)="Medium",20,10))+IF(VLOOKUP(A414,'Client Master Data'!A:G,7,FALSE)="Yes",40,0)+IF(C414="Yes",10,0)</f>
        <v>80</v>
      </c>
      <c r="F414" t="str">
        <f t="shared" si="6"/>
        <v>High</v>
      </c>
    </row>
    <row r="415" spans="1:6">
      <c r="A415">
        <v>1414</v>
      </c>
      <c r="B415" t="s">
        <v>1777</v>
      </c>
      <c r="C415" t="s">
        <v>20</v>
      </c>
      <c r="D415" t="s">
        <v>912</v>
      </c>
      <c r="E415">
        <f>IF(VLOOKUP(A415,'Client Master Data'!A:G,4,FALSE)="High",30,IF(VLOOKUP(A415,'Client Master Data'!A:G,4,FALSE)="Medium",20,10))+IF(VLOOKUP(A415,'Client Master Data'!A:G,7,FALSE)="Yes",40,0)+IF(C415="Yes",10,0)</f>
        <v>60</v>
      </c>
      <c r="F415" t="str">
        <f t="shared" si="6"/>
        <v>Medium</v>
      </c>
    </row>
    <row r="416" spans="1:6">
      <c r="A416">
        <v>1415</v>
      </c>
      <c r="B416" t="s">
        <v>1775</v>
      </c>
      <c r="C416" t="s">
        <v>14</v>
      </c>
      <c r="D416" t="s">
        <v>853</v>
      </c>
      <c r="E416">
        <f>IF(VLOOKUP(A416,'Client Master Data'!A:G,4,FALSE)="High",30,IF(VLOOKUP(A416,'Client Master Data'!A:G,4,FALSE)="Medium",20,10))+IF(VLOOKUP(A416,'Client Master Data'!A:G,7,FALSE)="Yes",40,0)+IF(C416="Yes",10,0)</f>
        <v>30</v>
      </c>
      <c r="F416" t="str">
        <f t="shared" si="6"/>
        <v>Low</v>
      </c>
    </row>
    <row r="417" spans="1:6">
      <c r="A417">
        <v>1416</v>
      </c>
      <c r="B417" t="s">
        <v>1777</v>
      </c>
      <c r="C417" t="s">
        <v>14</v>
      </c>
      <c r="D417" t="s">
        <v>948</v>
      </c>
      <c r="E417">
        <f>IF(VLOOKUP(A417,'Client Master Data'!A:G,4,FALSE)="High",30,IF(VLOOKUP(A417,'Client Master Data'!A:G,4,FALSE)="Medium",20,10))+IF(VLOOKUP(A417,'Client Master Data'!A:G,7,FALSE)="Yes",40,0)+IF(C417="Yes",10,0)</f>
        <v>30</v>
      </c>
      <c r="F417" t="str">
        <f t="shared" si="6"/>
        <v>Low</v>
      </c>
    </row>
    <row r="418" spans="1:6">
      <c r="A418">
        <v>1417</v>
      </c>
      <c r="B418" t="s">
        <v>1775</v>
      </c>
      <c r="C418" t="s">
        <v>20</v>
      </c>
      <c r="D418" t="s">
        <v>644</v>
      </c>
      <c r="E418">
        <f>IF(VLOOKUP(A418,'Client Master Data'!A:G,4,FALSE)="High",30,IF(VLOOKUP(A418,'Client Master Data'!A:G,4,FALSE)="Medium",20,10))+IF(VLOOKUP(A418,'Client Master Data'!A:G,7,FALSE)="Yes",40,0)+IF(C418="Yes",10,0)</f>
        <v>40</v>
      </c>
      <c r="F418" t="str">
        <f t="shared" si="6"/>
        <v>Medium</v>
      </c>
    </row>
    <row r="419" spans="1:6">
      <c r="A419">
        <v>1418</v>
      </c>
      <c r="B419" t="s">
        <v>1777</v>
      </c>
      <c r="C419" t="s">
        <v>20</v>
      </c>
      <c r="D419" t="s">
        <v>640</v>
      </c>
      <c r="E419">
        <f>IF(VLOOKUP(A419,'Client Master Data'!A:G,4,FALSE)="High",30,IF(VLOOKUP(A419,'Client Master Data'!A:G,4,FALSE)="Medium",20,10))+IF(VLOOKUP(A419,'Client Master Data'!A:G,7,FALSE)="Yes",40,0)+IF(C419="Yes",10,0)</f>
        <v>80</v>
      </c>
      <c r="F419" t="str">
        <f t="shared" si="6"/>
        <v>High</v>
      </c>
    </row>
    <row r="420" spans="1:6">
      <c r="A420">
        <v>1419</v>
      </c>
      <c r="B420" t="s">
        <v>1775</v>
      </c>
      <c r="C420" t="s">
        <v>14</v>
      </c>
      <c r="D420" t="s">
        <v>915</v>
      </c>
      <c r="E420">
        <f>IF(VLOOKUP(A420,'Client Master Data'!A:G,4,FALSE)="High",30,IF(VLOOKUP(A420,'Client Master Data'!A:G,4,FALSE)="Medium",20,10))+IF(VLOOKUP(A420,'Client Master Data'!A:G,7,FALSE)="Yes",40,0)+IF(C420="Yes",10,0)</f>
        <v>10</v>
      </c>
      <c r="F420" t="str">
        <f t="shared" si="6"/>
        <v>Low</v>
      </c>
    </row>
    <row r="421" spans="1:6">
      <c r="A421">
        <v>1420</v>
      </c>
      <c r="B421" t="s">
        <v>1776</v>
      </c>
      <c r="C421" t="s">
        <v>20</v>
      </c>
      <c r="D421" t="s">
        <v>1140</v>
      </c>
      <c r="E421">
        <f>IF(VLOOKUP(A421,'Client Master Data'!A:G,4,FALSE)="High",30,IF(VLOOKUP(A421,'Client Master Data'!A:G,4,FALSE)="Medium",20,10))+IF(VLOOKUP(A421,'Client Master Data'!A:G,7,FALSE)="Yes",40,0)+IF(C421="Yes",10,0)</f>
        <v>30</v>
      </c>
      <c r="F421" t="str">
        <f t="shared" si="6"/>
        <v>Low</v>
      </c>
    </row>
    <row r="422" spans="1:6">
      <c r="A422">
        <v>1421</v>
      </c>
      <c r="B422" t="s">
        <v>1777</v>
      </c>
      <c r="C422" t="s">
        <v>14</v>
      </c>
      <c r="D422" t="s">
        <v>640</v>
      </c>
      <c r="E422">
        <f>IF(VLOOKUP(A422,'Client Master Data'!A:G,4,FALSE)="High",30,IF(VLOOKUP(A422,'Client Master Data'!A:G,4,FALSE)="Medium",20,10))+IF(VLOOKUP(A422,'Client Master Data'!A:G,7,FALSE)="Yes",40,0)+IF(C422="Yes",10,0)</f>
        <v>10</v>
      </c>
      <c r="F422" t="str">
        <f t="shared" si="6"/>
        <v>Low</v>
      </c>
    </row>
    <row r="423" spans="1:6">
      <c r="A423">
        <v>1422</v>
      </c>
      <c r="B423" t="s">
        <v>1775</v>
      </c>
      <c r="C423" t="s">
        <v>14</v>
      </c>
      <c r="D423" t="s">
        <v>987</v>
      </c>
      <c r="E423">
        <f>IF(VLOOKUP(A423,'Client Master Data'!A:G,4,FALSE)="High",30,IF(VLOOKUP(A423,'Client Master Data'!A:G,4,FALSE)="Medium",20,10))+IF(VLOOKUP(A423,'Client Master Data'!A:G,7,FALSE)="Yes",40,0)+IF(C423="Yes",10,0)</f>
        <v>20</v>
      </c>
      <c r="F423" t="str">
        <f t="shared" si="6"/>
        <v>Low</v>
      </c>
    </row>
    <row r="424" spans="1:6">
      <c r="A424">
        <v>1423</v>
      </c>
      <c r="B424" t="s">
        <v>1776</v>
      </c>
      <c r="C424" t="s">
        <v>20</v>
      </c>
      <c r="D424" t="s">
        <v>751</v>
      </c>
      <c r="E424">
        <f>IF(VLOOKUP(A424,'Client Master Data'!A:G,4,FALSE)="High",30,IF(VLOOKUP(A424,'Client Master Data'!A:G,4,FALSE)="Medium",20,10))+IF(VLOOKUP(A424,'Client Master Data'!A:G,7,FALSE)="Yes",40,0)+IF(C424="Yes",10,0)</f>
        <v>60</v>
      </c>
      <c r="F424" t="str">
        <f t="shared" si="6"/>
        <v>Medium</v>
      </c>
    </row>
    <row r="425" spans="1:6">
      <c r="A425">
        <v>1424</v>
      </c>
      <c r="B425" t="s">
        <v>1775</v>
      </c>
      <c r="C425" t="s">
        <v>20</v>
      </c>
      <c r="D425" t="s">
        <v>878</v>
      </c>
      <c r="E425">
        <f>IF(VLOOKUP(A425,'Client Master Data'!A:G,4,FALSE)="High",30,IF(VLOOKUP(A425,'Client Master Data'!A:G,4,FALSE)="Medium",20,10))+IF(VLOOKUP(A425,'Client Master Data'!A:G,7,FALSE)="Yes",40,0)+IF(C425="Yes",10,0)</f>
        <v>20</v>
      </c>
      <c r="F425" t="str">
        <f t="shared" si="6"/>
        <v>Low</v>
      </c>
    </row>
    <row r="426" spans="1:6">
      <c r="A426">
        <v>1425</v>
      </c>
      <c r="B426" t="s">
        <v>1775</v>
      </c>
      <c r="C426" t="s">
        <v>14</v>
      </c>
      <c r="D426" t="s">
        <v>870</v>
      </c>
      <c r="E426">
        <f>IF(VLOOKUP(A426,'Client Master Data'!A:G,4,FALSE)="High",30,IF(VLOOKUP(A426,'Client Master Data'!A:G,4,FALSE)="Medium",20,10))+IF(VLOOKUP(A426,'Client Master Data'!A:G,7,FALSE)="Yes",40,0)+IF(C426="Yes",10,0)</f>
        <v>10</v>
      </c>
      <c r="F426" t="str">
        <f t="shared" si="6"/>
        <v>Low</v>
      </c>
    </row>
    <row r="427" spans="1:6">
      <c r="A427">
        <v>1426</v>
      </c>
      <c r="B427" t="s">
        <v>1776</v>
      </c>
      <c r="C427" t="s">
        <v>14</v>
      </c>
      <c r="D427" t="s">
        <v>1056</v>
      </c>
      <c r="E427">
        <f>IF(VLOOKUP(A427,'Client Master Data'!A:G,4,FALSE)="High",30,IF(VLOOKUP(A427,'Client Master Data'!A:G,4,FALSE)="Medium",20,10))+IF(VLOOKUP(A427,'Client Master Data'!A:G,7,FALSE)="Yes",40,0)+IF(C427="Yes",10,0)</f>
        <v>20</v>
      </c>
      <c r="F427" t="str">
        <f t="shared" si="6"/>
        <v>Low</v>
      </c>
    </row>
    <row r="428" spans="1:6">
      <c r="A428">
        <v>1427</v>
      </c>
      <c r="B428" t="s">
        <v>1776</v>
      </c>
      <c r="C428" t="s">
        <v>14</v>
      </c>
      <c r="D428" t="s">
        <v>1133</v>
      </c>
      <c r="E428">
        <f>IF(VLOOKUP(A428,'Client Master Data'!A:G,4,FALSE)="High",30,IF(VLOOKUP(A428,'Client Master Data'!A:G,4,FALSE)="Medium",20,10))+IF(VLOOKUP(A428,'Client Master Data'!A:G,7,FALSE)="Yes",40,0)+IF(C428="Yes",10,0)</f>
        <v>70</v>
      </c>
      <c r="F428" t="str">
        <f t="shared" si="6"/>
        <v>Medium</v>
      </c>
    </row>
    <row r="429" spans="1:6">
      <c r="A429">
        <v>1428</v>
      </c>
      <c r="B429" t="s">
        <v>1775</v>
      </c>
      <c r="C429" t="s">
        <v>20</v>
      </c>
      <c r="D429" t="s">
        <v>635</v>
      </c>
      <c r="E429">
        <f>IF(VLOOKUP(A429,'Client Master Data'!A:G,4,FALSE)="High",30,IF(VLOOKUP(A429,'Client Master Data'!A:G,4,FALSE)="Medium",20,10))+IF(VLOOKUP(A429,'Client Master Data'!A:G,7,FALSE)="Yes",40,0)+IF(C429="Yes",10,0)</f>
        <v>70</v>
      </c>
      <c r="F429" t="str">
        <f t="shared" si="6"/>
        <v>Medium</v>
      </c>
    </row>
    <row r="430" spans="1:6">
      <c r="A430">
        <v>1429</v>
      </c>
      <c r="B430" t="s">
        <v>1776</v>
      </c>
      <c r="C430" t="s">
        <v>20</v>
      </c>
      <c r="D430" t="s">
        <v>729</v>
      </c>
      <c r="E430">
        <f>IF(VLOOKUP(A430,'Client Master Data'!A:G,4,FALSE)="High",30,IF(VLOOKUP(A430,'Client Master Data'!A:G,4,FALSE)="Medium",20,10))+IF(VLOOKUP(A430,'Client Master Data'!A:G,7,FALSE)="Yes",40,0)+IF(C430="Yes",10,0)</f>
        <v>80</v>
      </c>
      <c r="F430" t="str">
        <f t="shared" si="6"/>
        <v>High</v>
      </c>
    </row>
    <row r="431" spans="1:6">
      <c r="A431">
        <v>1430</v>
      </c>
      <c r="B431" t="s">
        <v>1776</v>
      </c>
      <c r="C431" t="s">
        <v>20</v>
      </c>
      <c r="D431" t="s">
        <v>687</v>
      </c>
      <c r="E431">
        <f>IF(VLOOKUP(A431,'Client Master Data'!A:G,4,FALSE)="High",30,IF(VLOOKUP(A431,'Client Master Data'!A:G,4,FALSE)="Medium",20,10))+IF(VLOOKUP(A431,'Client Master Data'!A:G,7,FALSE)="Yes",40,0)+IF(C431="Yes",10,0)</f>
        <v>80</v>
      </c>
      <c r="F431" t="str">
        <f t="shared" si="6"/>
        <v>High</v>
      </c>
    </row>
    <row r="432" spans="1:6">
      <c r="A432">
        <v>1431</v>
      </c>
      <c r="B432" t="s">
        <v>1776</v>
      </c>
      <c r="C432" t="s">
        <v>20</v>
      </c>
      <c r="D432" t="s">
        <v>1033</v>
      </c>
      <c r="E432">
        <f>IF(VLOOKUP(A432,'Client Master Data'!A:G,4,FALSE)="High",30,IF(VLOOKUP(A432,'Client Master Data'!A:G,4,FALSE)="Medium",20,10))+IF(VLOOKUP(A432,'Client Master Data'!A:G,7,FALSE)="Yes",40,0)+IF(C432="Yes",10,0)</f>
        <v>20</v>
      </c>
      <c r="F432" t="str">
        <f t="shared" si="6"/>
        <v>Low</v>
      </c>
    </row>
    <row r="433" spans="1:6">
      <c r="A433">
        <v>1432</v>
      </c>
      <c r="B433" t="s">
        <v>1777</v>
      </c>
      <c r="C433" t="s">
        <v>20</v>
      </c>
      <c r="D433" t="s">
        <v>989</v>
      </c>
      <c r="E433">
        <f>IF(VLOOKUP(A433,'Client Master Data'!A:G,4,FALSE)="High",30,IF(VLOOKUP(A433,'Client Master Data'!A:G,4,FALSE)="Medium",20,10))+IF(VLOOKUP(A433,'Client Master Data'!A:G,7,FALSE)="Yes",40,0)+IF(C433="Yes",10,0)</f>
        <v>20</v>
      </c>
      <c r="F433" t="str">
        <f t="shared" si="6"/>
        <v>Low</v>
      </c>
    </row>
    <row r="434" spans="1:6">
      <c r="A434">
        <v>1433</v>
      </c>
      <c r="B434" t="s">
        <v>1775</v>
      </c>
      <c r="C434" t="s">
        <v>14</v>
      </c>
      <c r="D434" t="s">
        <v>886</v>
      </c>
      <c r="E434">
        <f>IF(VLOOKUP(A434,'Client Master Data'!A:G,4,FALSE)="High",30,IF(VLOOKUP(A434,'Client Master Data'!A:G,4,FALSE)="Medium",20,10))+IF(VLOOKUP(A434,'Client Master Data'!A:G,7,FALSE)="Yes",40,0)+IF(C434="Yes",10,0)</f>
        <v>50</v>
      </c>
      <c r="F434" t="str">
        <f t="shared" si="6"/>
        <v>Medium</v>
      </c>
    </row>
    <row r="435" spans="1:6">
      <c r="A435">
        <v>1434</v>
      </c>
      <c r="B435" t="s">
        <v>1775</v>
      </c>
      <c r="C435" t="s">
        <v>20</v>
      </c>
      <c r="D435" t="s">
        <v>618</v>
      </c>
      <c r="E435">
        <f>IF(VLOOKUP(A435,'Client Master Data'!A:G,4,FALSE)="High",30,IF(VLOOKUP(A435,'Client Master Data'!A:G,4,FALSE)="Medium",20,10))+IF(VLOOKUP(A435,'Client Master Data'!A:G,7,FALSE)="Yes",40,0)+IF(C435="Yes",10,0)</f>
        <v>40</v>
      </c>
      <c r="F435" t="str">
        <f t="shared" si="6"/>
        <v>Medium</v>
      </c>
    </row>
    <row r="436" spans="1:6">
      <c r="A436">
        <v>1435</v>
      </c>
      <c r="B436" t="s">
        <v>1777</v>
      </c>
      <c r="C436" t="s">
        <v>20</v>
      </c>
      <c r="D436" t="s">
        <v>1234</v>
      </c>
      <c r="E436">
        <f>IF(VLOOKUP(A436,'Client Master Data'!A:G,4,FALSE)="High",30,IF(VLOOKUP(A436,'Client Master Data'!A:G,4,FALSE)="Medium",20,10))+IF(VLOOKUP(A436,'Client Master Data'!A:G,7,FALSE)="Yes",40,0)+IF(C436="Yes",10,0)</f>
        <v>80</v>
      </c>
      <c r="F436" t="str">
        <f t="shared" si="6"/>
        <v>High</v>
      </c>
    </row>
    <row r="437" spans="1:6">
      <c r="A437">
        <v>1436</v>
      </c>
      <c r="B437" t="s">
        <v>1777</v>
      </c>
      <c r="C437" t="s">
        <v>14</v>
      </c>
      <c r="D437" t="s">
        <v>775</v>
      </c>
      <c r="E437">
        <f>IF(VLOOKUP(A437,'Client Master Data'!A:G,4,FALSE)="High",30,IF(VLOOKUP(A437,'Client Master Data'!A:G,4,FALSE)="Medium",20,10))+IF(VLOOKUP(A437,'Client Master Data'!A:G,7,FALSE)="Yes",40,0)+IF(C437="Yes",10,0)</f>
        <v>10</v>
      </c>
      <c r="F437" t="str">
        <f t="shared" si="6"/>
        <v>Low</v>
      </c>
    </row>
    <row r="438" spans="1:6">
      <c r="A438">
        <v>1437</v>
      </c>
      <c r="B438" t="s">
        <v>1776</v>
      </c>
      <c r="C438" t="s">
        <v>20</v>
      </c>
      <c r="D438" t="s">
        <v>1014</v>
      </c>
      <c r="E438">
        <f>IF(VLOOKUP(A438,'Client Master Data'!A:G,4,FALSE)="High",30,IF(VLOOKUP(A438,'Client Master Data'!A:G,4,FALSE)="Medium",20,10))+IF(VLOOKUP(A438,'Client Master Data'!A:G,7,FALSE)="Yes",40,0)+IF(C438="Yes",10,0)</f>
        <v>60</v>
      </c>
      <c r="F438" t="str">
        <f t="shared" si="6"/>
        <v>Medium</v>
      </c>
    </row>
    <row r="439" spans="1:6">
      <c r="A439">
        <v>1438</v>
      </c>
      <c r="B439" t="s">
        <v>1776</v>
      </c>
      <c r="C439" t="s">
        <v>14</v>
      </c>
      <c r="D439" t="s">
        <v>758</v>
      </c>
      <c r="E439">
        <f>IF(VLOOKUP(A439,'Client Master Data'!A:G,4,FALSE)="High",30,IF(VLOOKUP(A439,'Client Master Data'!A:G,4,FALSE)="Medium",20,10))+IF(VLOOKUP(A439,'Client Master Data'!A:G,7,FALSE)="Yes",40,0)+IF(C439="Yes",10,0)</f>
        <v>10</v>
      </c>
      <c r="F439" t="str">
        <f t="shared" si="6"/>
        <v>Low</v>
      </c>
    </row>
    <row r="440" spans="1:6">
      <c r="A440">
        <v>1439</v>
      </c>
      <c r="B440" t="s">
        <v>1776</v>
      </c>
      <c r="C440" t="s">
        <v>20</v>
      </c>
      <c r="D440" t="s">
        <v>1115</v>
      </c>
      <c r="E440">
        <f>IF(VLOOKUP(A440,'Client Master Data'!A:G,4,FALSE)="High",30,IF(VLOOKUP(A440,'Client Master Data'!A:G,4,FALSE)="Medium",20,10))+IF(VLOOKUP(A440,'Client Master Data'!A:G,7,FALSE)="Yes",40,0)+IF(C440="Yes",10,0)</f>
        <v>20</v>
      </c>
      <c r="F440" t="str">
        <f t="shared" si="6"/>
        <v>Low</v>
      </c>
    </row>
    <row r="441" spans="1:6">
      <c r="A441">
        <v>1440</v>
      </c>
      <c r="B441" t="s">
        <v>1777</v>
      </c>
      <c r="C441" t="s">
        <v>20</v>
      </c>
      <c r="D441" t="s">
        <v>973</v>
      </c>
      <c r="E441">
        <f>IF(VLOOKUP(A441,'Client Master Data'!A:G,4,FALSE)="High",30,IF(VLOOKUP(A441,'Client Master Data'!A:G,4,FALSE)="Medium",20,10))+IF(VLOOKUP(A441,'Client Master Data'!A:G,7,FALSE)="Yes",40,0)+IF(C441="Yes",10,0)</f>
        <v>40</v>
      </c>
      <c r="F441" t="str">
        <f t="shared" si="6"/>
        <v>Medium</v>
      </c>
    </row>
    <row r="442" spans="1:6">
      <c r="A442">
        <v>1441</v>
      </c>
      <c r="B442" t="s">
        <v>1777</v>
      </c>
      <c r="C442" t="s">
        <v>14</v>
      </c>
      <c r="D442" t="s">
        <v>989</v>
      </c>
      <c r="E442">
        <f>IF(VLOOKUP(A442,'Client Master Data'!A:G,4,FALSE)="High",30,IF(VLOOKUP(A442,'Client Master Data'!A:G,4,FALSE)="Medium",20,10))+IF(VLOOKUP(A442,'Client Master Data'!A:G,7,FALSE)="Yes",40,0)+IF(C442="Yes",10,0)</f>
        <v>70</v>
      </c>
      <c r="F442" t="str">
        <f t="shared" si="6"/>
        <v>Medium</v>
      </c>
    </row>
    <row r="443" spans="1:6">
      <c r="A443">
        <v>1442</v>
      </c>
      <c r="B443" t="s">
        <v>1777</v>
      </c>
      <c r="C443" t="s">
        <v>20</v>
      </c>
      <c r="D443" t="s">
        <v>851</v>
      </c>
      <c r="E443">
        <f>IF(VLOOKUP(A443,'Client Master Data'!A:G,4,FALSE)="High",30,IF(VLOOKUP(A443,'Client Master Data'!A:G,4,FALSE)="Medium",20,10))+IF(VLOOKUP(A443,'Client Master Data'!A:G,7,FALSE)="Yes",40,0)+IF(C443="Yes",10,0)</f>
        <v>30</v>
      </c>
      <c r="F443" t="str">
        <f t="shared" si="6"/>
        <v>Low</v>
      </c>
    </row>
    <row r="444" spans="1:6">
      <c r="A444">
        <v>1443</v>
      </c>
      <c r="B444" t="s">
        <v>1777</v>
      </c>
      <c r="C444" t="s">
        <v>14</v>
      </c>
      <c r="D444" t="s">
        <v>654</v>
      </c>
      <c r="E444">
        <f>IF(VLOOKUP(A444,'Client Master Data'!A:G,4,FALSE)="High",30,IF(VLOOKUP(A444,'Client Master Data'!A:G,4,FALSE)="Medium",20,10))+IF(VLOOKUP(A444,'Client Master Data'!A:G,7,FALSE)="Yes",40,0)+IF(C444="Yes",10,0)</f>
        <v>60</v>
      </c>
      <c r="F444" t="str">
        <f t="shared" si="6"/>
        <v>Medium</v>
      </c>
    </row>
    <row r="445" spans="1:6">
      <c r="A445">
        <v>1444</v>
      </c>
      <c r="B445" t="s">
        <v>1777</v>
      </c>
      <c r="C445" t="s">
        <v>14</v>
      </c>
      <c r="D445" t="s">
        <v>858</v>
      </c>
      <c r="E445">
        <f>IF(VLOOKUP(A445,'Client Master Data'!A:G,4,FALSE)="High",30,IF(VLOOKUP(A445,'Client Master Data'!A:G,4,FALSE)="Medium",20,10))+IF(VLOOKUP(A445,'Client Master Data'!A:G,7,FALSE)="Yes",40,0)+IF(C445="Yes",10,0)</f>
        <v>10</v>
      </c>
      <c r="F445" t="str">
        <f t="shared" si="6"/>
        <v>Low</v>
      </c>
    </row>
    <row r="446" spans="1:6">
      <c r="A446">
        <v>1445</v>
      </c>
      <c r="B446" t="s">
        <v>1775</v>
      </c>
      <c r="C446" t="s">
        <v>14</v>
      </c>
      <c r="D446" t="s">
        <v>1115</v>
      </c>
      <c r="E446">
        <f>IF(VLOOKUP(A446,'Client Master Data'!A:G,4,FALSE)="High",30,IF(VLOOKUP(A446,'Client Master Data'!A:G,4,FALSE)="Medium",20,10))+IF(VLOOKUP(A446,'Client Master Data'!A:G,7,FALSE)="Yes",40,0)+IF(C446="Yes",10,0)</f>
        <v>30</v>
      </c>
      <c r="F446" t="str">
        <f t="shared" si="6"/>
        <v>Low</v>
      </c>
    </row>
    <row r="447" spans="1:6">
      <c r="A447">
        <v>1446</v>
      </c>
      <c r="B447" t="s">
        <v>1777</v>
      </c>
      <c r="C447" t="s">
        <v>20</v>
      </c>
      <c r="D447" t="s">
        <v>1053</v>
      </c>
      <c r="E447">
        <f>IF(VLOOKUP(A447,'Client Master Data'!A:G,4,FALSE)="High",30,IF(VLOOKUP(A447,'Client Master Data'!A:G,4,FALSE)="Medium",20,10))+IF(VLOOKUP(A447,'Client Master Data'!A:G,7,FALSE)="Yes",40,0)+IF(C447="Yes",10,0)</f>
        <v>40</v>
      </c>
      <c r="F447" t="str">
        <f t="shared" si="6"/>
        <v>Medium</v>
      </c>
    </row>
    <row r="448" spans="1:6">
      <c r="A448">
        <v>1447</v>
      </c>
      <c r="B448" t="s">
        <v>1775</v>
      </c>
      <c r="C448" t="s">
        <v>14</v>
      </c>
      <c r="D448" t="s">
        <v>1014</v>
      </c>
      <c r="E448">
        <f>IF(VLOOKUP(A448,'Client Master Data'!A:G,4,FALSE)="High",30,IF(VLOOKUP(A448,'Client Master Data'!A:G,4,FALSE)="Medium",20,10))+IF(VLOOKUP(A448,'Client Master Data'!A:G,7,FALSE)="Yes",40,0)+IF(C448="Yes",10,0)</f>
        <v>10</v>
      </c>
      <c r="F448" t="str">
        <f t="shared" si="6"/>
        <v>Low</v>
      </c>
    </row>
    <row r="449" spans="1:6">
      <c r="A449">
        <v>1448</v>
      </c>
      <c r="B449" t="s">
        <v>1776</v>
      </c>
      <c r="C449" t="s">
        <v>20</v>
      </c>
      <c r="D449" t="s">
        <v>606</v>
      </c>
      <c r="E449">
        <f>IF(VLOOKUP(A449,'Client Master Data'!A:G,4,FALSE)="High",30,IF(VLOOKUP(A449,'Client Master Data'!A:G,4,FALSE)="Medium",20,10))+IF(VLOOKUP(A449,'Client Master Data'!A:G,7,FALSE)="Yes",40,0)+IF(C449="Yes",10,0)</f>
        <v>80</v>
      </c>
      <c r="F449" t="str">
        <f t="shared" si="6"/>
        <v>High</v>
      </c>
    </row>
    <row r="450" spans="1:6">
      <c r="A450">
        <v>1449</v>
      </c>
      <c r="B450" t="s">
        <v>1775</v>
      </c>
      <c r="C450" t="s">
        <v>20</v>
      </c>
      <c r="D450" t="s">
        <v>692</v>
      </c>
      <c r="E450">
        <f>IF(VLOOKUP(A450,'Client Master Data'!A:G,4,FALSE)="High",30,IF(VLOOKUP(A450,'Client Master Data'!A:G,4,FALSE)="Medium",20,10))+IF(VLOOKUP(A450,'Client Master Data'!A:G,7,FALSE)="Yes",40,0)+IF(C450="Yes",10,0)</f>
        <v>60</v>
      </c>
      <c r="F450" t="str">
        <f t="shared" ref="F450:F513" si="7">IF(E450&lt;=30,"Low",IF(E450&lt;=70,"Medium","High"))</f>
        <v>Medium</v>
      </c>
    </row>
    <row r="451" spans="1:6">
      <c r="A451">
        <v>1450</v>
      </c>
      <c r="B451" t="s">
        <v>1776</v>
      </c>
      <c r="C451" t="s">
        <v>20</v>
      </c>
      <c r="D451" t="s">
        <v>1014</v>
      </c>
      <c r="E451">
        <f>IF(VLOOKUP(A451,'Client Master Data'!A:G,4,FALSE)="High",30,IF(VLOOKUP(A451,'Client Master Data'!A:G,4,FALSE)="Medium",20,10))+IF(VLOOKUP(A451,'Client Master Data'!A:G,7,FALSE)="Yes",40,0)+IF(C451="Yes",10,0)</f>
        <v>20</v>
      </c>
      <c r="F451" t="str">
        <f t="shared" si="7"/>
        <v>Low</v>
      </c>
    </row>
    <row r="452" spans="1:6">
      <c r="A452">
        <v>1451</v>
      </c>
      <c r="B452" t="s">
        <v>1775</v>
      </c>
      <c r="C452" t="s">
        <v>20</v>
      </c>
      <c r="D452" t="s">
        <v>863</v>
      </c>
      <c r="E452">
        <f>IF(VLOOKUP(A452,'Client Master Data'!A:G,4,FALSE)="High",30,IF(VLOOKUP(A452,'Client Master Data'!A:G,4,FALSE)="Medium",20,10))+IF(VLOOKUP(A452,'Client Master Data'!A:G,7,FALSE)="Yes",40,0)+IF(C452="Yes",10,0)</f>
        <v>80</v>
      </c>
      <c r="F452" t="str">
        <f t="shared" si="7"/>
        <v>High</v>
      </c>
    </row>
    <row r="453" spans="1:6">
      <c r="A453">
        <v>1452</v>
      </c>
      <c r="B453" t="s">
        <v>1776</v>
      </c>
      <c r="C453" t="s">
        <v>14</v>
      </c>
      <c r="D453" t="s">
        <v>700</v>
      </c>
      <c r="E453">
        <f>IF(VLOOKUP(A453,'Client Master Data'!A:G,4,FALSE)="High",30,IF(VLOOKUP(A453,'Client Master Data'!A:G,4,FALSE)="Medium",20,10))+IF(VLOOKUP(A453,'Client Master Data'!A:G,7,FALSE)="Yes",40,0)+IF(C453="Yes",10,0)</f>
        <v>50</v>
      </c>
      <c r="F453" t="str">
        <f t="shared" si="7"/>
        <v>Medium</v>
      </c>
    </row>
    <row r="454" spans="1:6">
      <c r="A454">
        <v>1453</v>
      </c>
      <c r="B454" t="s">
        <v>1777</v>
      </c>
      <c r="C454" t="s">
        <v>20</v>
      </c>
      <c r="D454" t="s">
        <v>820</v>
      </c>
      <c r="E454">
        <f>IF(VLOOKUP(A454,'Client Master Data'!A:G,4,FALSE)="High",30,IF(VLOOKUP(A454,'Client Master Data'!A:G,4,FALSE)="Medium",20,10))+IF(VLOOKUP(A454,'Client Master Data'!A:G,7,FALSE)="Yes",40,0)+IF(C454="Yes",10,0)</f>
        <v>20</v>
      </c>
      <c r="F454" t="str">
        <f t="shared" si="7"/>
        <v>Low</v>
      </c>
    </row>
    <row r="455" spans="1:6">
      <c r="A455">
        <v>1454</v>
      </c>
      <c r="B455" t="s">
        <v>1776</v>
      </c>
      <c r="C455" t="s">
        <v>14</v>
      </c>
      <c r="D455" t="s">
        <v>700</v>
      </c>
      <c r="E455">
        <f>IF(VLOOKUP(A455,'Client Master Data'!A:G,4,FALSE)="High",30,IF(VLOOKUP(A455,'Client Master Data'!A:G,4,FALSE)="Medium",20,10))+IF(VLOOKUP(A455,'Client Master Data'!A:G,7,FALSE)="Yes",40,0)+IF(C455="Yes",10,0)</f>
        <v>50</v>
      </c>
      <c r="F455" t="str">
        <f t="shared" si="7"/>
        <v>Medium</v>
      </c>
    </row>
    <row r="456" spans="1:6">
      <c r="A456">
        <v>1455</v>
      </c>
      <c r="B456" t="s">
        <v>1777</v>
      </c>
      <c r="C456" t="s">
        <v>20</v>
      </c>
      <c r="D456" t="s">
        <v>1505</v>
      </c>
      <c r="E456">
        <f>IF(VLOOKUP(A456,'Client Master Data'!A:G,4,FALSE)="High",30,IF(VLOOKUP(A456,'Client Master Data'!A:G,4,FALSE)="Medium",20,10))+IF(VLOOKUP(A456,'Client Master Data'!A:G,7,FALSE)="Yes",40,0)+IF(C456="Yes",10,0)</f>
        <v>70</v>
      </c>
      <c r="F456" t="str">
        <f t="shared" si="7"/>
        <v>Medium</v>
      </c>
    </row>
    <row r="457" spans="1:6">
      <c r="A457">
        <v>1456</v>
      </c>
      <c r="B457" t="s">
        <v>1776</v>
      </c>
      <c r="C457" t="s">
        <v>20</v>
      </c>
      <c r="D457" t="s">
        <v>614</v>
      </c>
      <c r="E457">
        <f>IF(VLOOKUP(A457,'Client Master Data'!A:G,4,FALSE)="High",30,IF(VLOOKUP(A457,'Client Master Data'!A:G,4,FALSE)="Medium",20,10))+IF(VLOOKUP(A457,'Client Master Data'!A:G,7,FALSE)="Yes",40,0)+IF(C457="Yes",10,0)</f>
        <v>40</v>
      </c>
      <c r="F457" t="str">
        <f t="shared" si="7"/>
        <v>Medium</v>
      </c>
    </row>
    <row r="458" spans="1:6">
      <c r="A458">
        <v>1457</v>
      </c>
      <c r="B458" t="s">
        <v>1775</v>
      </c>
      <c r="C458" t="s">
        <v>14</v>
      </c>
      <c r="D458" t="s">
        <v>863</v>
      </c>
      <c r="E458">
        <f>IF(VLOOKUP(A458,'Client Master Data'!A:G,4,FALSE)="High",30,IF(VLOOKUP(A458,'Client Master Data'!A:G,4,FALSE)="Medium",20,10))+IF(VLOOKUP(A458,'Client Master Data'!A:G,7,FALSE)="Yes",40,0)+IF(C458="Yes",10,0)</f>
        <v>70</v>
      </c>
      <c r="F458" t="str">
        <f t="shared" si="7"/>
        <v>Medium</v>
      </c>
    </row>
    <row r="459" spans="1:6">
      <c r="A459">
        <v>1458</v>
      </c>
      <c r="B459" t="s">
        <v>1775</v>
      </c>
      <c r="C459" t="s">
        <v>20</v>
      </c>
      <c r="D459" t="s">
        <v>831</v>
      </c>
      <c r="E459">
        <f>IF(VLOOKUP(A459,'Client Master Data'!A:G,4,FALSE)="High",30,IF(VLOOKUP(A459,'Client Master Data'!A:G,4,FALSE)="Medium",20,10))+IF(VLOOKUP(A459,'Client Master Data'!A:G,7,FALSE)="Yes",40,0)+IF(C459="Yes",10,0)</f>
        <v>80</v>
      </c>
      <c r="F459" t="str">
        <f t="shared" si="7"/>
        <v>High</v>
      </c>
    </row>
    <row r="460" spans="1:6">
      <c r="A460">
        <v>1459</v>
      </c>
      <c r="B460" t="s">
        <v>1775</v>
      </c>
      <c r="C460" t="s">
        <v>20</v>
      </c>
      <c r="D460" t="s">
        <v>680</v>
      </c>
      <c r="E460">
        <f>IF(VLOOKUP(A460,'Client Master Data'!A:G,4,FALSE)="High",30,IF(VLOOKUP(A460,'Client Master Data'!A:G,4,FALSE)="Medium",20,10))+IF(VLOOKUP(A460,'Client Master Data'!A:G,7,FALSE)="Yes",40,0)+IF(C460="Yes",10,0)</f>
        <v>30</v>
      </c>
      <c r="F460" t="str">
        <f t="shared" si="7"/>
        <v>Low</v>
      </c>
    </row>
    <row r="461" spans="1:6">
      <c r="A461">
        <v>1460</v>
      </c>
      <c r="B461" t="s">
        <v>1777</v>
      </c>
      <c r="C461" t="s">
        <v>20</v>
      </c>
      <c r="D461" t="s">
        <v>886</v>
      </c>
      <c r="E461">
        <f>IF(VLOOKUP(A461,'Client Master Data'!A:G,4,FALSE)="High",30,IF(VLOOKUP(A461,'Client Master Data'!A:G,4,FALSE)="Medium",20,10))+IF(VLOOKUP(A461,'Client Master Data'!A:G,7,FALSE)="Yes",40,0)+IF(C461="Yes",10,0)</f>
        <v>20</v>
      </c>
      <c r="F461" t="str">
        <f t="shared" si="7"/>
        <v>Low</v>
      </c>
    </row>
    <row r="462" spans="1:6">
      <c r="A462">
        <v>1461</v>
      </c>
      <c r="B462" t="s">
        <v>1776</v>
      </c>
      <c r="C462" t="s">
        <v>20</v>
      </c>
      <c r="D462" t="s">
        <v>1006</v>
      </c>
      <c r="E462">
        <f>IF(VLOOKUP(A462,'Client Master Data'!A:G,4,FALSE)="High",30,IF(VLOOKUP(A462,'Client Master Data'!A:G,4,FALSE)="Medium",20,10))+IF(VLOOKUP(A462,'Client Master Data'!A:G,7,FALSE)="Yes",40,0)+IF(C462="Yes",10,0)</f>
        <v>40</v>
      </c>
      <c r="F462" t="str">
        <f t="shared" si="7"/>
        <v>Medium</v>
      </c>
    </row>
    <row r="463" spans="1:6">
      <c r="A463">
        <v>1462</v>
      </c>
      <c r="B463" t="s">
        <v>1776</v>
      </c>
      <c r="C463" t="s">
        <v>14</v>
      </c>
      <c r="D463" t="s">
        <v>1476</v>
      </c>
      <c r="E463">
        <f>IF(VLOOKUP(A463,'Client Master Data'!A:G,4,FALSE)="High",30,IF(VLOOKUP(A463,'Client Master Data'!A:G,4,FALSE)="Medium",20,10))+IF(VLOOKUP(A463,'Client Master Data'!A:G,7,FALSE)="Yes",40,0)+IF(C463="Yes",10,0)</f>
        <v>10</v>
      </c>
      <c r="F463" t="str">
        <f t="shared" si="7"/>
        <v>Low</v>
      </c>
    </row>
    <row r="464" spans="1:6">
      <c r="A464">
        <v>1463</v>
      </c>
      <c r="B464" t="s">
        <v>1776</v>
      </c>
      <c r="C464" t="s">
        <v>14</v>
      </c>
      <c r="D464" t="s">
        <v>950</v>
      </c>
      <c r="E464">
        <f>IF(VLOOKUP(A464,'Client Master Data'!A:G,4,FALSE)="High",30,IF(VLOOKUP(A464,'Client Master Data'!A:G,4,FALSE)="Medium",20,10))+IF(VLOOKUP(A464,'Client Master Data'!A:G,7,FALSE)="Yes",40,0)+IF(C464="Yes",10,0)</f>
        <v>50</v>
      </c>
      <c r="F464" t="str">
        <f t="shared" si="7"/>
        <v>Medium</v>
      </c>
    </row>
    <row r="465" spans="1:6">
      <c r="A465">
        <v>1464</v>
      </c>
      <c r="B465" t="s">
        <v>1775</v>
      </c>
      <c r="C465" t="s">
        <v>20</v>
      </c>
      <c r="D465" t="s">
        <v>745</v>
      </c>
      <c r="E465">
        <f>IF(VLOOKUP(A465,'Client Master Data'!A:G,4,FALSE)="High",30,IF(VLOOKUP(A465,'Client Master Data'!A:G,4,FALSE)="Medium",20,10))+IF(VLOOKUP(A465,'Client Master Data'!A:G,7,FALSE)="Yes",40,0)+IF(C465="Yes",10,0)</f>
        <v>20</v>
      </c>
      <c r="F465" t="str">
        <f t="shared" si="7"/>
        <v>Low</v>
      </c>
    </row>
    <row r="466" spans="1:6">
      <c r="A466">
        <v>1465</v>
      </c>
      <c r="B466" t="s">
        <v>1776</v>
      </c>
      <c r="C466" t="s">
        <v>14</v>
      </c>
      <c r="D466" t="s">
        <v>964</v>
      </c>
      <c r="E466">
        <f>IF(VLOOKUP(A466,'Client Master Data'!A:G,4,FALSE)="High",30,IF(VLOOKUP(A466,'Client Master Data'!A:G,4,FALSE)="Medium",20,10))+IF(VLOOKUP(A466,'Client Master Data'!A:G,7,FALSE)="Yes",40,0)+IF(C466="Yes",10,0)</f>
        <v>20</v>
      </c>
      <c r="F466" t="str">
        <f t="shared" si="7"/>
        <v>Low</v>
      </c>
    </row>
    <row r="467" spans="1:6">
      <c r="A467">
        <v>1466</v>
      </c>
      <c r="B467" t="s">
        <v>1775</v>
      </c>
      <c r="C467" t="s">
        <v>14</v>
      </c>
      <c r="D467" t="s">
        <v>640</v>
      </c>
      <c r="E467">
        <f>IF(VLOOKUP(A467,'Client Master Data'!A:G,4,FALSE)="High",30,IF(VLOOKUP(A467,'Client Master Data'!A:G,4,FALSE)="Medium",20,10))+IF(VLOOKUP(A467,'Client Master Data'!A:G,7,FALSE)="Yes",40,0)+IF(C467="Yes",10,0)</f>
        <v>50</v>
      </c>
      <c r="F467" t="str">
        <f t="shared" si="7"/>
        <v>Medium</v>
      </c>
    </row>
    <row r="468" spans="1:6">
      <c r="A468">
        <v>1467</v>
      </c>
      <c r="B468" t="s">
        <v>1775</v>
      </c>
      <c r="C468" t="s">
        <v>14</v>
      </c>
      <c r="D468" t="s">
        <v>692</v>
      </c>
      <c r="E468">
        <f>IF(VLOOKUP(A468,'Client Master Data'!A:G,4,FALSE)="High",30,IF(VLOOKUP(A468,'Client Master Data'!A:G,4,FALSE)="Medium",20,10))+IF(VLOOKUP(A468,'Client Master Data'!A:G,7,FALSE)="Yes",40,0)+IF(C468="Yes",10,0)</f>
        <v>30</v>
      </c>
      <c r="F468" t="str">
        <f t="shared" si="7"/>
        <v>Low</v>
      </c>
    </row>
    <row r="469" spans="1:6">
      <c r="A469">
        <v>1468</v>
      </c>
      <c r="B469" t="s">
        <v>1776</v>
      </c>
      <c r="C469" t="s">
        <v>20</v>
      </c>
      <c r="D469" t="s">
        <v>682</v>
      </c>
      <c r="E469">
        <f>IF(VLOOKUP(A469,'Client Master Data'!A:G,4,FALSE)="High",30,IF(VLOOKUP(A469,'Client Master Data'!A:G,4,FALSE)="Medium",20,10))+IF(VLOOKUP(A469,'Client Master Data'!A:G,7,FALSE)="Yes",40,0)+IF(C469="Yes",10,0)</f>
        <v>60</v>
      </c>
      <c r="F469" t="str">
        <f t="shared" si="7"/>
        <v>Medium</v>
      </c>
    </row>
    <row r="470" spans="1:6">
      <c r="A470">
        <v>1469</v>
      </c>
      <c r="B470" t="s">
        <v>1776</v>
      </c>
      <c r="C470" t="s">
        <v>20</v>
      </c>
      <c r="D470" t="s">
        <v>760</v>
      </c>
      <c r="E470">
        <f>IF(VLOOKUP(A470,'Client Master Data'!A:G,4,FALSE)="High",30,IF(VLOOKUP(A470,'Client Master Data'!A:G,4,FALSE)="Medium",20,10))+IF(VLOOKUP(A470,'Client Master Data'!A:G,7,FALSE)="Yes",40,0)+IF(C470="Yes",10,0)</f>
        <v>60</v>
      </c>
      <c r="F470" t="str">
        <f t="shared" si="7"/>
        <v>Medium</v>
      </c>
    </row>
    <row r="471" spans="1:6">
      <c r="A471">
        <v>1470</v>
      </c>
      <c r="B471" t="s">
        <v>1776</v>
      </c>
      <c r="C471" t="s">
        <v>14</v>
      </c>
      <c r="D471" t="s">
        <v>1025</v>
      </c>
      <c r="E471">
        <f>IF(VLOOKUP(A471,'Client Master Data'!A:G,4,FALSE)="High",30,IF(VLOOKUP(A471,'Client Master Data'!A:G,4,FALSE)="Medium",20,10))+IF(VLOOKUP(A471,'Client Master Data'!A:G,7,FALSE)="Yes",40,0)+IF(C471="Yes",10,0)</f>
        <v>60</v>
      </c>
      <c r="F471" t="str">
        <f t="shared" si="7"/>
        <v>Medium</v>
      </c>
    </row>
    <row r="472" spans="1:6">
      <c r="A472">
        <v>1471</v>
      </c>
      <c r="B472" t="s">
        <v>1776</v>
      </c>
      <c r="C472" t="s">
        <v>20</v>
      </c>
      <c r="D472" t="s">
        <v>876</v>
      </c>
      <c r="E472">
        <f>IF(VLOOKUP(A472,'Client Master Data'!A:G,4,FALSE)="High",30,IF(VLOOKUP(A472,'Client Master Data'!A:G,4,FALSE)="Medium",20,10))+IF(VLOOKUP(A472,'Client Master Data'!A:G,7,FALSE)="Yes",40,0)+IF(C472="Yes",10,0)</f>
        <v>30</v>
      </c>
      <c r="F472" t="str">
        <f t="shared" si="7"/>
        <v>Low</v>
      </c>
    </row>
    <row r="473" spans="1:6">
      <c r="A473">
        <v>1472</v>
      </c>
      <c r="B473" t="s">
        <v>1777</v>
      </c>
      <c r="C473" t="s">
        <v>20</v>
      </c>
      <c r="D473" t="s">
        <v>640</v>
      </c>
      <c r="E473">
        <f>IF(VLOOKUP(A473,'Client Master Data'!A:G,4,FALSE)="High",30,IF(VLOOKUP(A473,'Client Master Data'!A:G,4,FALSE)="Medium",20,10))+IF(VLOOKUP(A473,'Client Master Data'!A:G,7,FALSE)="Yes",40,0)+IF(C473="Yes",10,0)</f>
        <v>20</v>
      </c>
      <c r="F473" t="str">
        <f t="shared" si="7"/>
        <v>Low</v>
      </c>
    </row>
    <row r="474" spans="1:6">
      <c r="A474">
        <v>1473</v>
      </c>
      <c r="B474" t="s">
        <v>1775</v>
      </c>
      <c r="C474" t="s">
        <v>14</v>
      </c>
      <c r="D474" t="s">
        <v>1025</v>
      </c>
      <c r="E474">
        <f>IF(VLOOKUP(A474,'Client Master Data'!A:G,4,FALSE)="High",30,IF(VLOOKUP(A474,'Client Master Data'!A:G,4,FALSE)="Medium",20,10))+IF(VLOOKUP(A474,'Client Master Data'!A:G,7,FALSE)="Yes",40,0)+IF(C474="Yes",10,0)</f>
        <v>10</v>
      </c>
      <c r="F474" t="str">
        <f t="shared" si="7"/>
        <v>Low</v>
      </c>
    </row>
    <row r="475" spans="1:6">
      <c r="A475">
        <v>1474</v>
      </c>
      <c r="B475" t="s">
        <v>1775</v>
      </c>
      <c r="C475" t="s">
        <v>14</v>
      </c>
      <c r="D475" t="s">
        <v>623</v>
      </c>
      <c r="E475">
        <f>IF(VLOOKUP(A475,'Client Master Data'!A:G,4,FALSE)="High",30,IF(VLOOKUP(A475,'Client Master Data'!A:G,4,FALSE)="Medium",20,10))+IF(VLOOKUP(A475,'Client Master Data'!A:G,7,FALSE)="Yes",40,0)+IF(C475="Yes",10,0)</f>
        <v>10</v>
      </c>
      <c r="F475" t="str">
        <f t="shared" si="7"/>
        <v>Low</v>
      </c>
    </row>
    <row r="476" spans="1:6">
      <c r="A476">
        <v>1475</v>
      </c>
      <c r="B476" t="s">
        <v>1776</v>
      </c>
      <c r="C476" t="s">
        <v>14</v>
      </c>
      <c r="D476" t="s">
        <v>658</v>
      </c>
      <c r="E476">
        <f>IF(VLOOKUP(A476,'Client Master Data'!A:G,4,FALSE)="High",30,IF(VLOOKUP(A476,'Client Master Data'!A:G,4,FALSE)="Medium",20,10))+IF(VLOOKUP(A476,'Client Master Data'!A:G,7,FALSE)="Yes",40,0)+IF(C476="Yes",10,0)</f>
        <v>10</v>
      </c>
      <c r="F476" t="str">
        <f t="shared" si="7"/>
        <v>Low</v>
      </c>
    </row>
    <row r="477" spans="1:6">
      <c r="A477">
        <v>1476</v>
      </c>
      <c r="B477" t="s">
        <v>1777</v>
      </c>
      <c r="C477" t="s">
        <v>14</v>
      </c>
      <c r="D477" t="s">
        <v>964</v>
      </c>
      <c r="E477">
        <f>IF(VLOOKUP(A477,'Client Master Data'!A:G,4,FALSE)="High",30,IF(VLOOKUP(A477,'Client Master Data'!A:G,4,FALSE)="Medium",20,10))+IF(VLOOKUP(A477,'Client Master Data'!A:G,7,FALSE)="Yes",40,0)+IF(C477="Yes",10,0)</f>
        <v>70</v>
      </c>
      <c r="F477" t="str">
        <f t="shared" si="7"/>
        <v>Medium</v>
      </c>
    </row>
    <row r="478" spans="1:6">
      <c r="A478">
        <v>1477</v>
      </c>
      <c r="B478" t="s">
        <v>1777</v>
      </c>
      <c r="C478" t="s">
        <v>14</v>
      </c>
      <c r="D478" t="s">
        <v>845</v>
      </c>
      <c r="E478">
        <f>IF(VLOOKUP(A478,'Client Master Data'!A:G,4,FALSE)="High",30,IF(VLOOKUP(A478,'Client Master Data'!A:G,4,FALSE)="Medium",20,10))+IF(VLOOKUP(A478,'Client Master Data'!A:G,7,FALSE)="Yes",40,0)+IF(C478="Yes",10,0)</f>
        <v>50</v>
      </c>
      <c r="F478" t="str">
        <f t="shared" si="7"/>
        <v>Medium</v>
      </c>
    </row>
    <row r="479" spans="1:6">
      <c r="A479">
        <v>1478</v>
      </c>
      <c r="B479" t="s">
        <v>1775</v>
      </c>
      <c r="C479" t="s">
        <v>14</v>
      </c>
      <c r="D479" t="s">
        <v>1033</v>
      </c>
      <c r="E479">
        <f>IF(VLOOKUP(A479,'Client Master Data'!A:G,4,FALSE)="High",30,IF(VLOOKUP(A479,'Client Master Data'!A:G,4,FALSE)="Medium",20,10))+IF(VLOOKUP(A479,'Client Master Data'!A:G,7,FALSE)="Yes",40,0)+IF(C479="Yes",10,0)</f>
        <v>30</v>
      </c>
      <c r="F479" t="str">
        <f t="shared" si="7"/>
        <v>Low</v>
      </c>
    </row>
    <row r="480" spans="1:6">
      <c r="A480">
        <v>1479</v>
      </c>
      <c r="B480" t="s">
        <v>1777</v>
      </c>
      <c r="C480" t="s">
        <v>20</v>
      </c>
      <c r="D480" t="s">
        <v>895</v>
      </c>
      <c r="E480">
        <f>IF(VLOOKUP(A480,'Client Master Data'!A:G,4,FALSE)="High",30,IF(VLOOKUP(A480,'Client Master Data'!A:G,4,FALSE)="Medium",20,10))+IF(VLOOKUP(A480,'Client Master Data'!A:G,7,FALSE)="Yes",40,0)+IF(C480="Yes",10,0)</f>
        <v>20</v>
      </c>
      <c r="F480" t="str">
        <f t="shared" si="7"/>
        <v>Low</v>
      </c>
    </row>
    <row r="481" spans="1:6">
      <c r="A481">
        <v>1480</v>
      </c>
      <c r="B481" t="s">
        <v>1776</v>
      </c>
      <c r="C481" t="s">
        <v>20</v>
      </c>
      <c r="D481" t="s">
        <v>910</v>
      </c>
      <c r="E481">
        <f>IF(VLOOKUP(A481,'Client Master Data'!A:G,4,FALSE)="High",30,IF(VLOOKUP(A481,'Client Master Data'!A:G,4,FALSE)="Medium",20,10))+IF(VLOOKUP(A481,'Client Master Data'!A:G,7,FALSE)="Yes",40,0)+IF(C481="Yes",10,0)</f>
        <v>40</v>
      </c>
      <c r="F481" t="str">
        <f t="shared" si="7"/>
        <v>Medium</v>
      </c>
    </row>
    <row r="482" spans="1:6">
      <c r="A482">
        <v>1481</v>
      </c>
      <c r="B482" t="s">
        <v>1776</v>
      </c>
      <c r="C482" t="s">
        <v>14</v>
      </c>
      <c r="D482" t="s">
        <v>845</v>
      </c>
      <c r="E482">
        <f>IF(VLOOKUP(A482,'Client Master Data'!A:G,4,FALSE)="High",30,IF(VLOOKUP(A482,'Client Master Data'!A:G,4,FALSE)="Medium",20,10))+IF(VLOOKUP(A482,'Client Master Data'!A:G,7,FALSE)="Yes",40,0)+IF(C482="Yes",10,0)</f>
        <v>10</v>
      </c>
      <c r="F482" t="str">
        <f t="shared" si="7"/>
        <v>Low</v>
      </c>
    </row>
    <row r="483" spans="1:6">
      <c r="A483">
        <v>1482</v>
      </c>
      <c r="B483" t="s">
        <v>1775</v>
      </c>
      <c r="C483" t="s">
        <v>20</v>
      </c>
      <c r="D483" t="s">
        <v>807</v>
      </c>
      <c r="E483">
        <f>IF(VLOOKUP(A483,'Client Master Data'!A:G,4,FALSE)="High",30,IF(VLOOKUP(A483,'Client Master Data'!A:G,4,FALSE)="Medium",20,10))+IF(VLOOKUP(A483,'Client Master Data'!A:G,7,FALSE)="Yes",40,0)+IF(C483="Yes",10,0)</f>
        <v>80</v>
      </c>
      <c r="F483" t="str">
        <f t="shared" si="7"/>
        <v>High</v>
      </c>
    </row>
    <row r="484" spans="1:6">
      <c r="A484">
        <v>1483</v>
      </c>
      <c r="B484" t="s">
        <v>1776</v>
      </c>
      <c r="C484" t="s">
        <v>14</v>
      </c>
      <c r="D484" t="s">
        <v>1053</v>
      </c>
      <c r="E484">
        <f>IF(VLOOKUP(A484,'Client Master Data'!A:G,4,FALSE)="High",30,IF(VLOOKUP(A484,'Client Master Data'!A:G,4,FALSE)="Medium",20,10))+IF(VLOOKUP(A484,'Client Master Data'!A:G,7,FALSE)="Yes",40,0)+IF(C484="Yes",10,0)</f>
        <v>60</v>
      </c>
      <c r="F484" t="str">
        <f t="shared" si="7"/>
        <v>Medium</v>
      </c>
    </row>
    <row r="485" spans="1:6">
      <c r="A485">
        <v>1484</v>
      </c>
      <c r="B485" t="s">
        <v>1776</v>
      </c>
      <c r="C485" t="s">
        <v>20</v>
      </c>
      <c r="D485" t="s">
        <v>908</v>
      </c>
      <c r="E485">
        <f>IF(VLOOKUP(A485,'Client Master Data'!A:G,4,FALSE)="High",30,IF(VLOOKUP(A485,'Client Master Data'!A:G,4,FALSE)="Medium",20,10))+IF(VLOOKUP(A485,'Client Master Data'!A:G,7,FALSE)="Yes",40,0)+IF(C485="Yes",10,0)</f>
        <v>80</v>
      </c>
      <c r="F485" t="str">
        <f t="shared" si="7"/>
        <v>High</v>
      </c>
    </row>
    <row r="486" spans="1:6">
      <c r="A486">
        <v>1485</v>
      </c>
      <c r="B486" t="s">
        <v>1777</v>
      </c>
      <c r="C486" t="s">
        <v>20</v>
      </c>
      <c r="D486" t="s">
        <v>1324</v>
      </c>
      <c r="E486">
        <f>IF(VLOOKUP(A486,'Client Master Data'!A:G,4,FALSE)="High",30,IF(VLOOKUP(A486,'Client Master Data'!A:G,4,FALSE)="Medium",20,10))+IF(VLOOKUP(A486,'Client Master Data'!A:G,7,FALSE)="Yes",40,0)+IF(C486="Yes",10,0)</f>
        <v>70</v>
      </c>
      <c r="F486" t="str">
        <f t="shared" si="7"/>
        <v>Medium</v>
      </c>
    </row>
    <row r="487" spans="1:6">
      <c r="A487">
        <v>1486</v>
      </c>
      <c r="B487" t="s">
        <v>1777</v>
      </c>
      <c r="C487" t="s">
        <v>20</v>
      </c>
      <c r="D487" t="s">
        <v>760</v>
      </c>
      <c r="E487">
        <f>IF(VLOOKUP(A487,'Client Master Data'!A:G,4,FALSE)="High",30,IF(VLOOKUP(A487,'Client Master Data'!A:G,4,FALSE)="Medium",20,10))+IF(VLOOKUP(A487,'Client Master Data'!A:G,7,FALSE)="Yes",40,0)+IF(C487="Yes",10,0)</f>
        <v>80</v>
      </c>
      <c r="F487" t="str">
        <f t="shared" si="7"/>
        <v>High</v>
      </c>
    </row>
    <row r="488" spans="1:6">
      <c r="A488">
        <v>1487</v>
      </c>
      <c r="B488" t="s">
        <v>1776</v>
      </c>
      <c r="C488" t="s">
        <v>20</v>
      </c>
      <c r="D488" t="s">
        <v>1022</v>
      </c>
      <c r="E488">
        <f>IF(VLOOKUP(A488,'Client Master Data'!A:G,4,FALSE)="High",30,IF(VLOOKUP(A488,'Client Master Data'!A:G,4,FALSE)="Medium",20,10))+IF(VLOOKUP(A488,'Client Master Data'!A:G,7,FALSE)="Yes",40,0)+IF(C488="Yes",10,0)</f>
        <v>20</v>
      </c>
      <c r="F488" t="str">
        <f t="shared" si="7"/>
        <v>Low</v>
      </c>
    </row>
    <row r="489" spans="1:6">
      <c r="A489">
        <v>1488</v>
      </c>
      <c r="B489" t="s">
        <v>1777</v>
      </c>
      <c r="C489" t="s">
        <v>14</v>
      </c>
      <c r="D489" t="s">
        <v>818</v>
      </c>
      <c r="E489">
        <f>IF(VLOOKUP(A489,'Client Master Data'!A:G,4,FALSE)="High",30,IF(VLOOKUP(A489,'Client Master Data'!A:G,4,FALSE)="Medium",20,10))+IF(VLOOKUP(A489,'Client Master Data'!A:G,7,FALSE)="Yes",40,0)+IF(C489="Yes",10,0)</f>
        <v>10</v>
      </c>
      <c r="F489" t="str">
        <f t="shared" si="7"/>
        <v>Low</v>
      </c>
    </row>
    <row r="490" spans="1:6">
      <c r="A490">
        <v>1489</v>
      </c>
      <c r="B490" t="s">
        <v>1776</v>
      </c>
      <c r="C490" t="s">
        <v>14</v>
      </c>
      <c r="D490" t="s">
        <v>762</v>
      </c>
      <c r="E490">
        <f>IF(VLOOKUP(A490,'Client Master Data'!A:G,4,FALSE)="High",30,IF(VLOOKUP(A490,'Client Master Data'!A:G,4,FALSE)="Medium",20,10))+IF(VLOOKUP(A490,'Client Master Data'!A:G,7,FALSE)="Yes",40,0)+IF(C490="Yes",10,0)</f>
        <v>30</v>
      </c>
      <c r="F490" t="str">
        <f t="shared" si="7"/>
        <v>Low</v>
      </c>
    </row>
    <row r="491" spans="1:6">
      <c r="A491">
        <v>1490</v>
      </c>
      <c r="B491" t="s">
        <v>1776</v>
      </c>
      <c r="C491" t="s">
        <v>14</v>
      </c>
      <c r="D491" t="s">
        <v>989</v>
      </c>
      <c r="E491">
        <f>IF(VLOOKUP(A491,'Client Master Data'!A:G,4,FALSE)="High",30,IF(VLOOKUP(A491,'Client Master Data'!A:G,4,FALSE)="Medium",20,10))+IF(VLOOKUP(A491,'Client Master Data'!A:G,7,FALSE)="Yes",40,0)+IF(C491="Yes",10,0)</f>
        <v>70</v>
      </c>
      <c r="F491" t="str">
        <f t="shared" si="7"/>
        <v>Medium</v>
      </c>
    </row>
    <row r="492" spans="1:6">
      <c r="A492">
        <v>1491</v>
      </c>
      <c r="B492" t="s">
        <v>1775</v>
      </c>
      <c r="C492" t="s">
        <v>20</v>
      </c>
      <c r="D492" t="s">
        <v>673</v>
      </c>
      <c r="E492">
        <f>IF(VLOOKUP(A492,'Client Master Data'!A:G,4,FALSE)="High",30,IF(VLOOKUP(A492,'Client Master Data'!A:G,4,FALSE)="Medium",20,10))+IF(VLOOKUP(A492,'Client Master Data'!A:G,7,FALSE)="Yes",40,0)+IF(C492="Yes",10,0)</f>
        <v>40</v>
      </c>
      <c r="F492" t="str">
        <f t="shared" si="7"/>
        <v>Medium</v>
      </c>
    </row>
    <row r="493" spans="1:6">
      <c r="A493">
        <v>1492</v>
      </c>
      <c r="B493" t="s">
        <v>1776</v>
      </c>
      <c r="C493" t="s">
        <v>14</v>
      </c>
      <c r="D493" t="s">
        <v>648</v>
      </c>
      <c r="E493">
        <f>IF(VLOOKUP(A493,'Client Master Data'!A:G,4,FALSE)="High",30,IF(VLOOKUP(A493,'Client Master Data'!A:G,4,FALSE)="Medium",20,10))+IF(VLOOKUP(A493,'Client Master Data'!A:G,7,FALSE)="Yes",40,0)+IF(C493="Yes",10,0)</f>
        <v>70</v>
      </c>
      <c r="F493" t="str">
        <f t="shared" si="7"/>
        <v>Medium</v>
      </c>
    </row>
    <row r="494" spans="1:6">
      <c r="A494">
        <v>1493</v>
      </c>
      <c r="B494" t="s">
        <v>1777</v>
      </c>
      <c r="C494" t="s">
        <v>20</v>
      </c>
      <c r="D494" t="s">
        <v>984</v>
      </c>
      <c r="E494">
        <f>IF(VLOOKUP(A494,'Client Master Data'!A:G,4,FALSE)="High",30,IF(VLOOKUP(A494,'Client Master Data'!A:G,4,FALSE)="Medium",20,10))+IF(VLOOKUP(A494,'Client Master Data'!A:G,7,FALSE)="Yes",40,0)+IF(C494="Yes",10,0)</f>
        <v>20</v>
      </c>
      <c r="F494" t="str">
        <f t="shared" si="7"/>
        <v>Low</v>
      </c>
    </row>
    <row r="495" spans="1:6">
      <c r="A495">
        <v>1494</v>
      </c>
      <c r="B495" t="s">
        <v>1775</v>
      </c>
      <c r="C495" t="s">
        <v>20</v>
      </c>
      <c r="D495" t="s">
        <v>1445</v>
      </c>
      <c r="E495">
        <f>IF(VLOOKUP(A495,'Client Master Data'!A:G,4,FALSE)="High",30,IF(VLOOKUP(A495,'Client Master Data'!A:G,4,FALSE)="Medium",20,10))+IF(VLOOKUP(A495,'Client Master Data'!A:G,7,FALSE)="Yes",40,0)+IF(C495="Yes",10,0)</f>
        <v>70</v>
      </c>
      <c r="F495" t="str">
        <f t="shared" si="7"/>
        <v>Medium</v>
      </c>
    </row>
    <row r="496" spans="1:6">
      <c r="A496">
        <v>1495</v>
      </c>
      <c r="B496" t="s">
        <v>1775</v>
      </c>
      <c r="C496" t="s">
        <v>14</v>
      </c>
      <c r="D496" t="s">
        <v>745</v>
      </c>
      <c r="E496">
        <f>IF(VLOOKUP(A496,'Client Master Data'!A:G,4,FALSE)="High",30,IF(VLOOKUP(A496,'Client Master Data'!A:G,4,FALSE)="Medium",20,10))+IF(VLOOKUP(A496,'Client Master Data'!A:G,7,FALSE)="Yes",40,0)+IF(C496="Yes",10,0)</f>
        <v>10</v>
      </c>
      <c r="F496" t="str">
        <f t="shared" si="7"/>
        <v>Low</v>
      </c>
    </row>
    <row r="497" spans="1:6">
      <c r="A497">
        <v>1496</v>
      </c>
      <c r="B497" t="s">
        <v>1777</v>
      </c>
      <c r="C497" t="s">
        <v>14</v>
      </c>
      <c r="D497" t="s">
        <v>1046</v>
      </c>
      <c r="E497">
        <f>IF(VLOOKUP(A497,'Client Master Data'!A:G,4,FALSE)="High",30,IF(VLOOKUP(A497,'Client Master Data'!A:G,4,FALSE)="Medium",20,10))+IF(VLOOKUP(A497,'Client Master Data'!A:G,7,FALSE)="Yes",40,0)+IF(C497="Yes",10,0)</f>
        <v>50</v>
      </c>
      <c r="F497" t="str">
        <f t="shared" si="7"/>
        <v>Medium</v>
      </c>
    </row>
    <row r="498" spans="1:6">
      <c r="A498">
        <v>1497</v>
      </c>
      <c r="B498" t="s">
        <v>1775</v>
      </c>
      <c r="C498" t="s">
        <v>14</v>
      </c>
      <c r="D498" t="s">
        <v>876</v>
      </c>
      <c r="E498">
        <f>IF(VLOOKUP(A498,'Client Master Data'!A:G,4,FALSE)="High",30,IF(VLOOKUP(A498,'Client Master Data'!A:G,4,FALSE)="Medium",20,10))+IF(VLOOKUP(A498,'Client Master Data'!A:G,7,FALSE)="Yes",40,0)+IF(C498="Yes",10,0)</f>
        <v>30</v>
      </c>
      <c r="F498" t="str">
        <f t="shared" si="7"/>
        <v>Low</v>
      </c>
    </row>
    <row r="499" spans="1:6">
      <c r="A499">
        <v>1498</v>
      </c>
      <c r="B499" t="s">
        <v>1776</v>
      </c>
      <c r="C499" t="s">
        <v>14</v>
      </c>
      <c r="D499" t="s">
        <v>818</v>
      </c>
      <c r="E499">
        <f>IF(VLOOKUP(A499,'Client Master Data'!A:G,4,FALSE)="High",30,IF(VLOOKUP(A499,'Client Master Data'!A:G,4,FALSE)="Medium",20,10))+IF(VLOOKUP(A499,'Client Master Data'!A:G,7,FALSE)="Yes",40,0)+IF(C499="Yes",10,0)</f>
        <v>10</v>
      </c>
      <c r="F499" t="str">
        <f t="shared" si="7"/>
        <v>Low</v>
      </c>
    </row>
    <row r="500" spans="1:6">
      <c r="A500">
        <v>1499</v>
      </c>
      <c r="B500" t="s">
        <v>1777</v>
      </c>
      <c r="C500" t="s">
        <v>20</v>
      </c>
      <c r="D500" t="s">
        <v>967</v>
      </c>
      <c r="E500">
        <f>IF(VLOOKUP(A500,'Client Master Data'!A:G,4,FALSE)="High",30,IF(VLOOKUP(A500,'Client Master Data'!A:G,4,FALSE)="Medium",20,10))+IF(VLOOKUP(A500,'Client Master Data'!A:G,7,FALSE)="Yes",40,0)+IF(C500="Yes",10,0)</f>
        <v>40</v>
      </c>
      <c r="F500" t="str">
        <f t="shared" si="7"/>
        <v>Medium</v>
      </c>
    </row>
    <row r="501" spans="1:6">
      <c r="A501">
        <v>1500</v>
      </c>
      <c r="B501" t="s">
        <v>1777</v>
      </c>
      <c r="C501" t="s">
        <v>20</v>
      </c>
      <c r="D501" t="s">
        <v>1657</v>
      </c>
      <c r="E501">
        <f>IF(VLOOKUP(A501,'Client Master Data'!A:G,4,FALSE)="High",30,IF(VLOOKUP(A501,'Client Master Data'!A:G,4,FALSE)="Medium",20,10))+IF(VLOOKUP(A501,'Client Master Data'!A:G,7,FALSE)="Yes",40,0)+IF(C501="Yes",10,0)</f>
        <v>30</v>
      </c>
      <c r="F501" t="str">
        <f t="shared" si="7"/>
        <v>Low</v>
      </c>
    </row>
    <row r="502" spans="1:6">
      <c r="A502">
        <v>1501</v>
      </c>
      <c r="B502" t="s">
        <v>1776</v>
      </c>
      <c r="C502" t="s">
        <v>20</v>
      </c>
      <c r="D502" t="s">
        <v>839</v>
      </c>
      <c r="E502">
        <f>IF(VLOOKUP(A502,'Client Master Data'!A:G,4,FALSE)="High",30,IF(VLOOKUP(A502,'Client Master Data'!A:G,4,FALSE)="Medium",20,10))+IF(VLOOKUP(A502,'Client Master Data'!A:G,7,FALSE)="Yes",40,0)+IF(C502="Yes",10,0)</f>
        <v>60</v>
      </c>
      <c r="F502" t="str">
        <f t="shared" si="7"/>
        <v>Medium</v>
      </c>
    </row>
    <row r="503" spans="1:6">
      <c r="A503">
        <v>1502</v>
      </c>
      <c r="B503" t="s">
        <v>1776</v>
      </c>
      <c r="C503" t="s">
        <v>20</v>
      </c>
      <c r="D503" t="s">
        <v>1019</v>
      </c>
      <c r="E503">
        <f>IF(VLOOKUP(A503,'Client Master Data'!A:G,4,FALSE)="High",30,IF(VLOOKUP(A503,'Client Master Data'!A:G,4,FALSE)="Medium",20,10))+IF(VLOOKUP(A503,'Client Master Data'!A:G,7,FALSE)="Yes",40,0)+IF(C503="Yes",10,0)</f>
        <v>70</v>
      </c>
      <c r="F503" t="str">
        <f t="shared" si="7"/>
        <v>Medium</v>
      </c>
    </row>
    <row r="504" spans="1:6">
      <c r="A504">
        <v>1503</v>
      </c>
      <c r="B504" t="s">
        <v>1777</v>
      </c>
      <c r="C504" t="s">
        <v>14</v>
      </c>
      <c r="D504" t="s">
        <v>849</v>
      </c>
      <c r="E504">
        <f>IF(VLOOKUP(A504,'Client Master Data'!A:G,4,FALSE)="High",30,IF(VLOOKUP(A504,'Client Master Data'!A:G,4,FALSE)="Medium",20,10))+IF(VLOOKUP(A504,'Client Master Data'!A:G,7,FALSE)="Yes",40,0)+IF(C504="Yes",10,0)</f>
        <v>10</v>
      </c>
      <c r="F504" t="str">
        <f t="shared" si="7"/>
        <v>Low</v>
      </c>
    </row>
    <row r="505" spans="1:6">
      <c r="A505">
        <v>1504</v>
      </c>
      <c r="B505" t="s">
        <v>1777</v>
      </c>
      <c r="C505" t="s">
        <v>20</v>
      </c>
      <c r="D505" t="s">
        <v>1507</v>
      </c>
      <c r="E505">
        <f>IF(VLOOKUP(A505,'Client Master Data'!A:G,4,FALSE)="High",30,IF(VLOOKUP(A505,'Client Master Data'!A:G,4,FALSE)="Medium",20,10))+IF(VLOOKUP(A505,'Client Master Data'!A:G,7,FALSE)="Yes",40,0)+IF(C505="Yes",10,0)</f>
        <v>40</v>
      </c>
      <c r="F505" t="str">
        <f t="shared" si="7"/>
        <v>Medium</v>
      </c>
    </row>
    <row r="506" spans="1:6">
      <c r="A506">
        <v>1505</v>
      </c>
      <c r="B506" t="s">
        <v>1776</v>
      </c>
      <c r="C506" t="s">
        <v>14</v>
      </c>
      <c r="D506" t="s">
        <v>1179</v>
      </c>
      <c r="E506">
        <f>IF(VLOOKUP(A506,'Client Master Data'!A:G,4,FALSE)="High",30,IF(VLOOKUP(A506,'Client Master Data'!A:G,4,FALSE)="Medium",20,10))+IF(VLOOKUP(A506,'Client Master Data'!A:G,7,FALSE)="Yes",40,0)+IF(C506="Yes",10,0)</f>
        <v>30</v>
      </c>
      <c r="F506" t="str">
        <f t="shared" si="7"/>
        <v>Low</v>
      </c>
    </row>
    <row r="507" spans="1:6">
      <c r="A507">
        <v>1506</v>
      </c>
      <c r="B507" t="s">
        <v>1775</v>
      </c>
      <c r="C507" t="s">
        <v>20</v>
      </c>
      <c r="D507" t="s">
        <v>623</v>
      </c>
      <c r="E507">
        <f>IF(VLOOKUP(A507,'Client Master Data'!A:G,4,FALSE)="High",30,IF(VLOOKUP(A507,'Client Master Data'!A:G,4,FALSE)="Medium",20,10))+IF(VLOOKUP(A507,'Client Master Data'!A:G,7,FALSE)="Yes",40,0)+IF(C507="Yes",10,0)</f>
        <v>60</v>
      </c>
      <c r="F507" t="str">
        <f t="shared" si="7"/>
        <v>Medium</v>
      </c>
    </row>
    <row r="508" spans="1:6">
      <c r="A508">
        <v>1507</v>
      </c>
      <c r="B508" t="s">
        <v>1777</v>
      </c>
      <c r="C508" t="s">
        <v>14</v>
      </c>
      <c r="D508" t="s">
        <v>760</v>
      </c>
      <c r="E508">
        <f>IF(VLOOKUP(A508,'Client Master Data'!A:G,4,FALSE)="High",30,IF(VLOOKUP(A508,'Client Master Data'!A:G,4,FALSE)="Medium",20,10))+IF(VLOOKUP(A508,'Client Master Data'!A:G,7,FALSE)="Yes",40,0)+IF(C508="Yes",10,0)</f>
        <v>70</v>
      </c>
      <c r="F508" t="str">
        <f t="shared" si="7"/>
        <v>Medium</v>
      </c>
    </row>
    <row r="509" spans="1:6">
      <c r="A509">
        <v>1508</v>
      </c>
      <c r="B509" t="s">
        <v>1775</v>
      </c>
      <c r="C509" t="s">
        <v>20</v>
      </c>
      <c r="D509" t="s">
        <v>717</v>
      </c>
      <c r="E509">
        <f>IF(VLOOKUP(A509,'Client Master Data'!A:G,4,FALSE)="High",30,IF(VLOOKUP(A509,'Client Master Data'!A:G,4,FALSE)="Medium",20,10))+IF(VLOOKUP(A509,'Client Master Data'!A:G,7,FALSE)="Yes",40,0)+IF(C509="Yes",10,0)</f>
        <v>20</v>
      </c>
      <c r="F509" t="str">
        <f t="shared" si="7"/>
        <v>Low</v>
      </c>
    </row>
    <row r="510" spans="1:6">
      <c r="A510">
        <v>1509</v>
      </c>
      <c r="B510" t="s">
        <v>1777</v>
      </c>
      <c r="C510" t="s">
        <v>20</v>
      </c>
      <c r="D510" t="s">
        <v>878</v>
      </c>
      <c r="E510">
        <f>IF(VLOOKUP(A510,'Client Master Data'!A:G,4,FALSE)="High",30,IF(VLOOKUP(A510,'Client Master Data'!A:G,4,FALSE)="Medium",20,10))+IF(VLOOKUP(A510,'Client Master Data'!A:G,7,FALSE)="Yes",40,0)+IF(C510="Yes",10,0)</f>
        <v>60</v>
      </c>
      <c r="F510" t="str">
        <f t="shared" si="7"/>
        <v>Medium</v>
      </c>
    </row>
    <row r="511" spans="1:6">
      <c r="A511">
        <v>1510</v>
      </c>
      <c r="B511" t="s">
        <v>1777</v>
      </c>
      <c r="C511" t="s">
        <v>20</v>
      </c>
      <c r="D511" t="s">
        <v>1140</v>
      </c>
      <c r="E511">
        <f>IF(VLOOKUP(A511,'Client Master Data'!A:G,4,FALSE)="High",30,IF(VLOOKUP(A511,'Client Master Data'!A:G,4,FALSE)="Medium",20,10))+IF(VLOOKUP(A511,'Client Master Data'!A:G,7,FALSE)="Yes",40,0)+IF(C511="Yes",10,0)</f>
        <v>30</v>
      </c>
      <c r="F511" t="str">
        <f t="shared" si="7"/>
        <v>Low</v>
      </c>
    </row>
    <row r="512" spans="1:6">
      <c r="A512">
        <v>1511</v>
      </c>
      <c r="B512" t="s">
        <v>1775</v>
      </c>
      <c r="C512" t="s">
        <v>14</v>
      </c>
      <c r="D512" t="s">
        <v>921</v>
      </c>
      <c r="E512">
        <f>IF(VLOOKUP(A512,'Client Master Data'!A:G,4,FALSE)="High",30,IF(VLOOKUP(A512,'Client Master Data'!A:G,4,FALSE)="Medium",20,10))+IF(VLOOKUP(A512,'Client Master Data'!A:G,7,FALSE)="Yes",40,0)+IF(C512="Yes",10,0)</f>
        <v>70</v>
      </c>
      <c r="F512" t="str">
        <f t="shared" si="7"/>
        <v>Medium</v>
      </c>
    </row>
    <row r="513" spans="1:6">
      <c r="A513">
        <v>1512</v>
      </c>
      <c r="B513" t="s">
        <v>1776</v>
      </c>
      <c r="C513" t="s">
        <v>14</v>
      </c>
      <c r="D513" t="s">
        <v>658</v>
      </c>
      <c r="E513">
        <f>IF(VLOOKUP(A513,'Client Master Data'!A:G,4,FALSE)="High",30,IF(VLOOKUP(A513,'Client Master Data'!A:G,4,FALSE)="Medium",20,10))+IF(VLOOKUP(A513,'Client Master Data'!A:G,7,FALSE)="Yes",40,0)+IF(C513="Yes",10,0)</f>
        <v>10</v>
      </c>
      <c r="F513" t="str">
        <f t="shared" si="7"/>
        <v>Low</v>
      </c>
    </row>
    <row r="514" spans="1:6">
      <c r="A514">
        <v>1513</v>
      </c>
      <c r="B514" t="s">
        <v>1775</v>
      </c>
      <c r="C514" t="s">
        <v>14</v>
      </c>
      <c r="D514" t="s">
        <v>984</v>
      </c>
      <c r="E514">
        <f>IF(VLOOKUP(A514,'Client Master Data'!A:G,4,FALSE)="High",30,IF(VLOOKUP(A514,'Client Master Data'!A:G,4,FALSE)="Medium",20,10))+IF(VLOOKUP(A514,'Client Master Data'!A:G,7,FALSE)="Yes",40,0)+IF(C514="Yes",10,0)</f>
        <v>30</v>
      </c>
      <c r="F514" t="str">
        <f t="shared" ref="F514:F551" si="8">IF(E514&lt;=30,"Low",IF(E514&lt;=70,"Medium","High"))</f>
        <v>Low</v>
      </c>
    </row>
    <row r="515" spans="1:6">
      <c r="A515">
        <v>1514</v>
      </c>
      <c r="B515" t="s">
        <v>1776</v>
      </c>
      <c r="C515" t="s">
        <v>20</v>
      </c>
      <c r="D515" t="s">
        <v>921</v>
      </c>
      <c r="E515">
        <f>IF(VLOOKUP(A515,'Client Master Data'!A:G,4,FALSE)="High",30,IF(VLOOKUP(A515,'Client Master Data'!A:G,4,FALSE)="Medium",20,10))+IF(VLOOKUP(A515,'Client Master Data'!A:G,7,FALSE)="Yes",40,0)+IF(C515="Yes",10,0)</f>
        <v>80</v>
      </c>
      <c r="F515" t="str">
        <f t="shared" si="8"/>
        <v>High</v>
      </c>
    </row>
    <row r="516" spans="1:6">
      <c r="A516">
        <v>1515</v>
      </c>
      <c r="B516" t="s">
        <v>1777</v>
      </c>
      <c r="C516" t="s">
        <v>20</v>
      </c>
      <c r="D516" t="s">
        <v>953</v>
      </c>
      <c r="E516">
        <f>IF(VLOOKUP(A516,'Client Master Data'!A:G,4,FALSE)="High",30,IF(VLOOKUP(A516,'Client Master Data'!A:G,4,FALSE)="Medium",20,10))+IF(VLOOKUP(A516,'Client Master Data'!A:G,7,FALSE)="Yes",40,0)+IF(C516="Yes",10,0)</f>
        <v>40</v>
      </c>
      <c r="F516" t="str">
        <f t="shared" si="8"/>
        <v>Medium</v>
      </c>
    </row>
    <row r="517" spans="1:6">
      <c r="A517">
        <v>1516</v>
      </c>
      <c r="B517" t="s">
        <v>1775</v>
      </c>
      <c r="C517" t="s">
        <v>14</v>
      </c>
      <c r="D517" t="s">
        <v>680</v>
      </c>
      <c r="E517">
        <f>IF(VLOOKUP(A517,'Client Master Data'!A:G,4,FALSE)="High",30,IF(VLOOKUP(A517,'Client Master Data'!A:G,4,FALSE)="Medium",20,10))+IF(VLOOKUP(A517,'Client Master Data'!A:G,7,FALSE)="Yes",40,0)+IF(C517="Yes",10,0)</f>
        <v>30</v>
      </c>
      <c r="F517" t="str">
        <f t="shared" si="8"/>
        <v>Low</v>
      </c>
    </row>
    <row r="518" spans="1:6">
      <c r="A518">
        <v>1517</v>
      </c>
      <c r="B518" t="s">
        <v>1775</v>
      </c>
      <c r="C518" t="s">
        <v>20</v>
      </c>
      <c r="D518" t="s">
        <v>745</v>
      </c>
      <c r="E518">
        <f>IF(VLOOKUP(A518,'Client Master Data'!A:G,4,FALSE)="High",30,IF(VLOOKUP(A518,'Client Master Data'!A:G,4,FALSE)="Medium",20,10))+IF(VLOOKUP(A518,'Client Master Data'!A:G,7,FALSE)="Yes",40,0)+IF(C518="Yes",10,0)</f>
        <v>60</v>
      </c>
      <c r="F518" t="str">
        <f t="shared" si="8"/>
        <v>Medium</v>
      </c>
    </row>
    <row r="519" spans="1:6">
      <c r="A519">
        <v>1518</v>
      </c>
      <c r="B519" t="s">
        <v>1777</v>
      </c>
      <c r="C519" t="s">
        <v>14</v>
      </c>
      <c r="D519" t="s">
        <v>831</v>
      </c>
      <c r="E519">
        <f>IF(VLOOKUP(A519,'Client Master Data'!A:G,4,FALSE)="High",30,IF(VLOOKUP(A519,'Client Master Data'!A:G,4,FALSE)="Medium",20,10))+IF(VLOOKUP(A519,'Client Master Data'!A:G,7,FALSE)="Yes",40,0)+IF(C519="Yes",10,0)</f>
        <v>10</v>
      </c>
      <c r="F519" t="str">
        <f t="shared" si="8"/>
        <v>Low</v>
      </c>
    </row>
    <row r="520" spans="1:6">
      <c r="A520">
        <v>1519</v>
      </c>
      <c r="B520" t="s">
        <v>1777</v>
      </c>
      <c r="C520" t="s">
        <v>20</v>
      </c>
      <c r="D520" t="s">
        <v>820</v>
      </c>
      <c r="E520">
        <f>IF(VLOOKUP(A520,'Client Master Data'!A:G,4,FALSE)="High",30,IF(VLOOKUP(A520,'Client Master Data'!A:G,4,FALSE)="Medium",20,10))+IF(VLOOKUP(A520,'Client Master Data'!A:G,7,FALSE)="Yes",40,0)+IF(C520="Yes",10,0)</f>
        <v>60</v>
      </c>
      <c r="F520" t="str">
        <f t="shared" si="8"/>
        <v>Medium</v>
      </c>
    </row>
    <row r="521" spans="1:6">
      <c r="A521">
        <v>1520</v>
      </c>
      <c r="B521" t="s">
        <v>1776</v>
      </c>
      <c r="C521" t="s">
        <v>14</v>
      </c>
      <c r="D521" t="s">
        <v>671</v>
      </c>
      <c r="E521">
        <f>IF(VLOOKUP(A521,'Client Master Data'!A:G,4,FALSE)="High",30,IF(VLOOKUP(A521,'Client Master Data'!A:G,4,FALSE)="Medium",20,10))+IF(VLOOKUP(A521,'Client Master Data'!A:G,7,FALSE)="Yes",40,0)+IF(C521="Yes",10,0)</f>
        <v>30</v>
      </c>
      <c r="F521" t="str">
        <f t="shared" si="8"/>
        <v>Low</v>
      </c>
    </row>
    <row r="522" spans="1:6">
      <c r="A522">
        <v>1521</v>
      </c>
      <c r="B522" t="s">
        <v>1775</v>
      </c>
      <c r="C522" t="s">
        <v>20</v>
      </c>
      <c r="D522" t="s">
        <v>1019</v>
      </c>
      <c r="E522">
        <f>IF(VLOOKUP(A522,'Client Master Data'!A:G,4,FALSE)="High",30,IF(VLOOKUP(A522,'Client Master Data'!A:G,4,FALSE)="Medium",20,10))+IF(VLOOKUP(A522,'Client Master Data'!A:G,7,FALSE)="Yes",40,0)+IF(C522="Yes",10,0)</f>
        <v>20</v>
      </c>
      <c r="F522" t="str">
        <f t="shared" si="8"/>
        <v>Low</v>
      </c>
    </row>
    <row r="523" spans="1:6">
      <c r="A523">
        <v>1522</v>
      </c>
      <c r="B523" t="s">
        <v>1776</v>
      </c>
      <c r="C523" t="s">
        <v>20</v>
      </c>
      <c r="D523" t="s">
        <v>897</v>
      </c>
      <c r="E523">
        <f>IF(VLOOKUP(A523,'Client Master Data'!A:G,4,FALSE)="High",30,IF(VLOOKUP(A523,'Client Master Data'!A:G,4,FALSE)="Medium",20,10))+IF(VLOOKUP(A523,'Client Master Data'!A:G,7,FALSE)="Yes",40,0)+IF(C523="Yes",10,0)</f>
        <v>20</v>
      </c>
      <c r="F523" t="str">
        <f t="shared" si="8"/>
        <v>Low</v>
      </c>
    </row>
    <row r="524" spans="1:6">
      <c r="A524">
        <v>1523</v>
      </c>
      <c r="B524" t="s">
        <v>1777</v>
      </c>
      <c r="C524" t="s">
        <v>14</v>
      </c>
      <c r="D524" t="s">
        <v>760</v>
      </c>
      <c r="E524">
        <f>IF(VLOOKUP(A524,'Client Master Data'!A:G,4,FALSE)="High",30,IF(VLOOKUP(A524,'Client Master Data'!A:G,4,FALSE)="Medium",20,10))+IF(VLOOKUP(A524,'Client Master Data'!A:G,7,FALSE)="Yes",40,0)+IF(C524="Yes",10,0)</f>
        <v>30</v>
      </c>
      <c r="F524" t="str">
        <f t="shared" si="8"/>
        <v>Low</v>
      </c>
    </row>
    <row r="525" spans="1:6">
      <c r="A525">
        <v>1524</v>
      </c>
      <c r="B525" t="s">
        <v>1775</v>
      </c>
      <c r="C525" t="s">
        <v>20</v>
      </c>
      <c r="D525" t="s">
        <v>599</v>
      </c>
      <c r="E525">
        <f>IF(VLOOKUP(A525,'Client Master Data'!A:G,4,FALSE)="High",30,IF(VLOOKUP(A525,'Client Master Data'!A:G,4,FALSE)="Medium",20,10))+IF(VLOOKUP(A525,'Client Master Data'!A:G,7,FALSE)="Yes",40,0)+IF(C525="Yes",10,0)</f>
        <v>20</v>
      </c>
      <c r="F525" t="str">
        <f t="shared" si="8"/>
        <v>Low</v>
      </c>
    </row>
    <row r="526" spans="1:6">
      <c r="A526">
        <v>1525</v>
      </c>
      <c r="B526" t="s">
        <v>1777</v>
      </c>
      <c r="C526" t="s">
        <v>14</v>
      </c>
      <c r="D526" t="s">
        <v>897</v>
      </c>
      <c r="E526">
        <f>IF(VLOOKUP(A526,'Client Master Data'!A:G,4,FALSE)="High",30,IF(VLOOKUP(A526,'Client Master Data'!A:G,4,FALSE)="Medium",20,10))+IF(VLOOKUP(A526,'Client Master Data'!A:G,7,FALSE)="Yes",40,0)+IF(C526="Yes",10,0)</f>
        <v>30</v>
      </c>
      <c r="F526" t="str">
        <f t="shared" si="8"/>
        <v>Low</v>
      </c>
    </row>
    <row r="527" spans="1:6">
      <c r="A527">
        <v>1526</v>
      </c>
      <c r="B527" t="s">
        <v>1776</v>
      </c>
      <c r="C527" t="s">
        <v>14</v>
      </c>
      <c r="D527" t="s">
        <v>958</v>
      </c>
      <c r="E527">
        <f>IF(VLOOKUP(A527,'Client Master Data'!A:G,4,FALSE)="High",30,IF(VLOOKUP(A527,'Client Master Data'!A:G,4,FALSE)="Medium",20,10))+IF(VLOOKUP(A527,'Client Master Data'!A:G,7,FALSE)="Yes",40,0)+IF(C527="Yes",10,0)</f>
        <v>10</v>
      </c>
      <c r="F527" t="str">
        <f t="shared" si="8"/>
        <v>Low</v>
      </c>
    </row>
    <row r="528" spans="1:6">
      <c r="A528">
        <v>1527</v>
      </c>
      <c r="B528" t="s">
        <v>1776</v>
      </c>
      <c r="C528" t="s">
        <v>20</v>
      </c>
      <c r="D528" t="s">
        <v>775</v>
      </c>
      <c r="E528">
        <f>IF(VLOOKUP(A528,'Client Master Data'!A:G,4,FALSE)="High",30,IF(VLOOKUP(A528,'Client Master Data'!A:G,4,FALSE)="Medium",20,10))+IF(VLOOKUP(A528,'Client Master Data'!A:G,7,FALSE)="Yes",40,0)+IF(C528="Yes",10,0)</f>
        <v>40</v>
      </c>
      <c r="F528" t="str">
        <f t="shared" si="8"/>
        <v>Medium</v>
      </c>
    </row>
    <row r="529" spans="1:6">
      <c r="A529">
        <v>1528</v>
      </c>
      <c r="B529" t="s">
        <v>1777</v>
      </c>
      <c r="C529" t="s">
        <v>20</v>
      </c>
      <c r="D529" t="s">
        <v>678</v>
      </c>
      <c r="E529">
        <f>IF(VLOOKUP(A529,'Client Master Data'!A:G,4,FALSE)="High",30,IF(VLOOKUP(A529,'Client Master Data'!A:G,4,FALSE)="Medium",20,10))+IF(VLOOKUP(A529,'Client Master Data'!A:G,7,FALSE)="Yes",40,0)+IF(C529="Yes",10,0)</f>
        <v>60</v>
      </c>
      <c r="F529" t="str">
        <f t="shared" si="8"/>
        <v>Medium</v>
      </c>
    </row>
    <row r="530" spans="1:6">
      <c r="A530">
        <v>1529</v>
      </c>
      <c r="B530" t="s">
        <v>1776</v>
      </c>
      <c r="C530" t="s">
        <v>14</v>
      </c>
      <c r="D530" t="s">
        <v>762</v>
      </c>
      <c r="E530">
        <f>IF(VLOOKUP(A530,'Client Master Data'!A:G,4,FALSE)="High",30,IF(VLOOKUP(A530,'Client Master Data'!A:G,4,FALSE)="Medium",20,10))+IF(VLOOKUP(A530,'Client Master Data'!A:G,7,FALSE)="Yes",40,0)+IF(C530="Yes",10,0)</f>
        <v>30</v>
      </c>
      <c r="F530" t="str">
        <f t="shared" si="8"/>
        <v>Low</v>
      </c>
    </row>
    <row r="531" spans="1:6">
      <c r="A531">
        <v>1530</v>
      </c>
      <c r="B531" t="s">
        <v>1777</v>
      </c>
      <c r="C531" t="s">
        <v>14</v>
      </c>
      <c r="D531" t="s">
        <v>682</v>
      </c>
      <c r="E531">
        <f>IF(VLOOKUP(A531,'Client Master Data'!A:G,4,FALSE)="High",30,IF(VLOOKUP(A531,'Client Master Data'!A:G,4,FALSE)="Medium",20,10))+IF(VLOOKUP(A531,'Client Master Data'!A:G,7,FALSE)="Yes",40,0)+IF(C531="Yes",10,0)</f>
        <v>70</v>
      </c>
      <c r="F531" t="str">
        <f t="shared" si="8"/>
        <v>Medium</v>
      </c>
    </row>
    <row r="532" spans="1:6">
      <c r="A532">
        <v>1531</v>
      </c>
      <c r="B532" t="s">
        <v>1775</v>
      </c>
      <c r="C532" t="s">
        <v>14</v>
      </c>
      <c r="D532" t="s">
        <v>789</v>
      </c>
      <c r="E532">
        <f>IF(VLOOKUP(A532,'Client Master Data'!A:G,4,FALSE)="High",30,IF(VLOOKUP(A532,'Client Master Data'!A:G,4,FALSE)="Medium",20,10))+IF(VLOOKUP(A532,'Client Master Data'!A:G,7,FALSE)="Yes",40,0)+IF(C532="Yes",10,0)</f>
        <v>10</v>
      </c>
      <c r="F532" t="str">
        <f t="shared" si="8"/>
        <v>Low</v>
      </c>
    </row>
    <row r="533" spans="1:6">
      <c r="A533">
        <v>1532</v>
      </c>
      <c r="B533" t="s">
        <v>1777</v>
      </c>
      <c r="C533" t="s">
        <v>20</v>
      </c>
      <c r="D533" t="s">
        <v>1179</v>
      </c>
      <c r="E533">
        <f>IF(VLOOKUP(A533,'Client Master Data'!A:G,4,FALSE)="High",30,IF(VLOOKUP(A533,'Client Master Data'!A:G,4,FALSE)="Medium",20,10))+IF(VLOOKUP(A533,'Client Master Data'!A:G,7,FALSE)="Yes",40,0)+IF(C533="Yes",10,0)</f>
        <v>80</v>
      </c>
      <c r="F533" t="str">
        <f t="shared" si="8"/>
        <v>High</v>
      </c>
    </row>
    <row r="534" spans="1:6">
      <c r="A534">
        <v>1533</v>
      </c>
      <c r="B534" t="s">
        <v>1776</v>
      </c>
      <c r="C534" t="s">
        <v>14</v>
      </c>
      <c r="D534" t="s">
        <v>1118</v>
      </c>
      <c r="E534">
        <f>IF(VLOOKUP(A534,'Client Master Data'!A:G,4,FALSE)="High",30,IF(VLOOKUP(A534,'Client Master Data'!A:G,4,FALSE)="Medium",20,10))+IF(VLOOKUP(A534,'Client Master Data'!A:G,7,FALSE)="Yes",40,0)+IF(C534="Yes",10,0)</f>
        <v>70</v>
      </c>
      <c r="F534" t="str">
        <f t="shared" si="8"/>
        <v>Medium</v>
      </c>
    </row>
    <row r="535" spans="1:6">
      <c r="A535">
        <v>1534</v>
      </c>
      <c r="B535" t="s">
        <v>1775</v>
      </c>
      <c r="C535" t="s">
        <v>20</v>
      </c>
      <c r="D535" t="s">
        <v>1025</v>
      </c>
      <c r="E535">
        <f>IF(VLOOKUP(A535,'Client Master Data'!A:G,4,FALSE)="High",30,IF(VLOOKUP(A535,'Client Master Data'!A:G,4,FALSE)="Medium",20,10))+IF(VLOOKUP(A535,'Client Master Data'!A:G,7,FALSE)="Yes",40,0)+IF(C535="Yes",10,0)</f>
        <v>20</v>
      </c>
      <c r="F535" t="str">
        <f t="shared" si="8"/>
        <v>Low</v>
      </c>
    </row>
    <row r="536" spans="1:6">
      <c r="A536">
        <v>1535</v>
      </c>
      <c r="B536" t="s">
        <v>1775</v>
      </c>
      <c r="C536" t="s">
        <v>20</v>
      </c>
      <c r="D536" t="s">
        <v>948</v>
      </c>
      <c r="E536">
        <f>IF(VLOOKUP(A536,'Client Master Data'!A:G,4,FALSE)="High",30,IF(VLOOKUP(A536,'Client Master Data'!A:G,4,FALSE)="Medium",20,10))+IF(VLOOKUP(A536,'Client Master Data'!A:G,7,FALSE)="Yes",40,0)+IF(C536="Yes",10,0)</f>
        <v>40</v>
      </c>
      <c r="F536" t="str">
        <f t="shared" si="8"/>
        <v>Medium</v>
      </c>
    </row>
    <row r="537" spans="1:6">
      <c r="A537">
        <v>1536</v>
      </c>
      <c r="B537" t="s">
        <v>1776</v>
      </c>
      <c r="C537" t="s">
        <v>20</v>
      </c>
      <c r="D537" t="s">
        <v>828</v>
      </c>
      <c r="E537">
        <f>IF(VLOOKUP(A537,'Client Master Data'!A:G,4,FALSE)="High",30,IF(VLOOKUP(A537,'Client Master Data'!A:G,4,FALSE)="Medium",20,10))+IF(VLOOKUP(A537,'Client Master Data'!A:G,7,FALSE)="Yes",40,0)+IF(C537="Yes",10,0)</f>
        <v>60</v>
      </c>
      <c r="F537" t="str">
        <f t="shared" si="8"/>
        <v>Medium</v>
      </c>
    </row>
    <row r="538" spans="1:6">
      <c r="A538">
        <v>1537</v>
      </c>
      <c r="B538" t="s">
        <v>1777</v>
      </c>
      <c r="C538" t="s">
        <v>20</v>
      </c>
      <c r="D538" t="s">
        <v>717</v>
      </c>
      <c r="E538">
        <f>IF(VLOOKUP(A538,'Client Master Data'!A:G,4,FALSE)="High",30,IF(VLOOKUP(A538,'Client Master Data'!A:G,4,FALSE)="Medium",20,10))+IF(VLOOKUP(A538,'Client Master Data'!A:G,7,FALSE)="Yes",40,0)+IF(C538="Yes",10,0)</f>
        <v>60</v>
      </c>
      <c r="F538" t="str">
        <f t="shared" si="8"/>
        <v>Medium</v>
      </c>
    </row>
    <row r="539" spans="1:6">
      <c r="A539">
        <v>1538</v>
      </c>
      <c r="B539" t="s">
        <v>1775</v>
      </c>
      <c r="C539" t="s">
        <v>14</v>
      </c>
      <c r="D539" t="s">
        <v>924</v>
      </c>
      <c r="E539">
        <f>IF(VLOOKUP(A539,'Client Master Data'!A:G,4,FALSE)="High",30,IF(VLOOKUP(A539,'Client Master Data'!A:G,4,FALSE)="Medium",20,10))+IF(VLOOKUP(A539,'Client Master Data'!A:G,7,FALSE)="Yes",40,0)+IF(C539="Yes",10,0)</f>
        <v>20</v>
      </c>
      <c r="F539" t="str">
        <f t="shared" si="8"/>
        <v>Low</v>
      </c>
    </row>
    <row r="540" spans="1:6">
      <c r="A540">
        <v>1539</v>
      </c>
      <c r="B540" t="s">
        <v>1776</v>
      </c>
      <c r="C540" t="s">
        <v>14</v>
      </c>
      <c r="D540" t="s">
        <v>826</v>
      </c>
      <c r="E540">
        <f>IF(VLOOKUP(A540,'Client Master Data'!A:G,4,FALSE)="High",30,IF(VLOOKUP(A540,'Client Master Data'!A:G,4,FALSE)="Medium",20,10))+IF(VLOOKUP(A540,'Client Master Data'!A:G,7,FALSE)="Yes",40,0)+IF(C540="Yes",10,0)</f>
        <v>10</v>
      </c>
      <c r="F540" t="str">
        <f t="shared" si="8"/>
        <v>Low</v>
      </c>
    </row>
    <row r="541" spans="1:6">
      <c r="A541">
        <v>1540</v>
      </c>
      <c r="B541" t="s">
        <v>1777</v>
      </c>
      <c r="C541" t="s">
        <v>14</v>
      </c>
      <c r="D541" t="s">
        <v>937</v>
      </c>
      <c r="E541">
        <f>IF(VLOOKUP(A541,'Client Master Data'!A:G,4,FALSE)="High",30,IF(VLOOKUP(A541,'Client Master Data'!A:G,4,FALSE)="Medium",20,10))+IF(VLOOKUP(A541,'Client Master Data'!A:G,7,FALSE)="Yes",40,0)+IF(C541="Yes",10,0)</f>
        <v>50</v>
      </c>
      <c r="F541" t="str">
        <f t="shared" si="8"/>
        <v>Medium</v>
      </c>
    </row>
    <row r="542" spans="1:6">
      <c r="A542">
        <v>1541</v>
      </c>
      <c r="B542" t="s">
        <v>1775</v>
      </c>
      <c r="C542" t="s">
        <v>14</v>
      </c>
      <c r="D542" t="s">
        <v>692</v>
      </c>
      <c r="E542">
        <f>IF(VLOOKUP(A542,'Client Master Data'!A:G,4,FALSE)="High",30,IF(VLOOKUP(A542,'Client Master Data'!A:G,4,FALSE)="Medium",20,10))+IF(VLOOKUP(A542,'Client Master Data'!A:G,7,FALSE)="Yes",40,0)+IF(C542="Yes",10,0)</f>
        <v>30</v>
      </c>
      <c r="F542" t="str">
        <f t="shared" si="8"/>
        <v>Low</v>
      </c>
    </row>
    <row r="543" spans="1:6">
      <c r="A543">
        <v>1542</v>
      </c>
      <c r="B543" t="s">
        <v>1777</v>
      </c>
      <c r="C543" t="s">
        <v>20</v>
      </c>
      <c r="D543" t="s">
        <v>1053</v>
      </c>
      <c r="E543">
        <f>IF(VLOOKUP(A543,'Client Master Data'!A:G,4,FALSE)="High",30,IF(VLOOKUP(A543,'Client Master Data'!A:G,4,FALSE)="Medium",20,10))+IF(VLOOKUP(A543,'Client Master Data'!A:G,7,FALSE)="Yes",40,0)+IF(C543="Yes",10,0)</f>
        <v>70</v>
      </c>
      <c r="F543" t="str">
        <f t="shared" si="8"/>
        <v>Medium</v>
      </c>
    </row>
    <row r="544" spans="1:6">
      <c r="A544">
        <v>1543</v>
      </c>
      <c r="B544" t="s">
        <v>1775</v>
      </c>
      <c r="C544" t="s">
        <v>20</v>
      </c>
      <c r="D544" t="s">
        <v>709</v>
      </c>
      <c r="E544">
        <f>IF(VLOOKUP(A544,'Client Master Data'!A:G,4,FALSE)="High",30,IF(VLOOKUP(A544,'Client Master Data'!A:G,4,FALSE)="Medium",20,10))+IF(VLOOKUP(A544,'Client Master Data'!A:G,7,FALSE)="Yes",40,0)+IF(C544="Yes",10,0)</f>
        <v>70</v>
      </c>
      <c r="F544" t="str">
        <f t="shared" si="8"/>
        <v>Medium</v>
      </c>
    </row>
    <row r="545" spans="1:6">
      <c r="A545">
        <v>1544</v>
      </c>
      <c r="B545" t="s">
        <v>1777</v>
      </c>
      <c r="C545" t="s">
        <v>14</v>
      </c>
      <c r="D545" t="s">
        <v>948</v>
      </c>
      <c r="E545">
        <f>IF(VLOOKUP(A545,'Client Master Data'!A:G,4,FALSE)="High",30,IF(VLOOKUP(A545,'Client Master Data'!A:G,4,FALSE)="Medium",20,10))+IF(VLOOKUP(A545,'Client Master Data'!A:G,7,FALSE)="Yes",40,0)+IF(C545="Yes",10,0)</f>
        <v>30</v>
      </c>
      <c r="F545" t="str">
        <f t="shared" si="8"/>
        <v>Low</v>
      </c>
    </row>
    <row r="546" spans="1:6">
      <c r="A546">
        <v>1545</v>
      </c>
      <c r="B546" t="s">
        <v>1777</v>
      </c>
      <c r="C546" t="s">
        <v>14</v>
      </c>
      <c r="D546" t="s">
        <v>1735</v>
      </c>
      <c r="E546">
        <f>IF(VLOOKUP(A546,'Client Master Data'!A:G,4,FALSE)="High",30,IF(VLOOKUP(A546,'Client Master Data'!A:G,4,FALSE)="Medium",20,10))+IF(VLOOKUP(A546,'Client Master Data'!A:G,7,FALSE)="Yes",40,0)+IF(C546="Yes",10,0)</f>
        <v>10</v>
      </c>
      <c r="F546" t="str">
        <f t="shared" si="8"/>
        <v>Low</v>
      </c>
    </row>
    <row r="547" spans="1:6">
      <c r="A547">
        <v>1546</v>
      </c>
      <c r="B547" t="s">
        <v>1775</v>
      </c>
      <c r="C547" t="s">
        <v>14</v>
      </c>
      <c r="D547" t="s">
        <v>807</v>
      </c>
      <c r="E547">
        <f>IF(VLOOKUP(A547,'Client Master Data'!A:G,4,FALSE)="High",30,IF(VLOOKUP(A547,'Client Master Data'!A:G,4,FALSE)="Medium",20,10))+IF(VLOOKUP(A547,'Client Master Data'!A:G,7,FALSE)="Yes",40,0)+IF(C547="Yes",10,0)</f>
        <v>50</v>
      </c>
      <c r="F547" t="str">
        <f t="shared" si="8"/>
        <v>Medium</v>
      </c>
    </row>
    <row r="548" spans="1:6">
      <c r="A548">
        <v>1547</v>
      </c>
      <c r="B548" t="s">
        <v>1776</v>
      </c>
      <c r="C548" t="s">
        <v>14</v>
      </c>
      <c r="D548" t="s">
        <v>1115</v>
      </c>
      <c r="E548">
        <f>IF(VLOOKUP(A548,'Client Master Data'!A:G,4,FALSE)="High",30,IF(VLOOKUP(A548,'Client Master Data'!A:G,4,FALSE)="Medium",20,10))+IF(VLOOKUP(A548,'Client Master Data'!A:G,7,FALSE)="Yes",40,0)+IF(C548="Yes",10,0)</f>
        <v>10</v>
      </c>
      <c r="F548" t="str">
        <f t="shared" si="8"/>
        <v>Low</v>
      </c>
    </row>
    <row r="549" spans="1:6">
      <c r="A549">
        <v>1548</v>
      </c>
      <c r="B549" t="s">
        <v>1775</v>
      </c>
      <c r="C549" t="s">
        <v>20</v>
      </c>
      <c r="D549" t="s">
        <v>842</v>
      </c>
      <c r="E549">
        <f>IF(VLOOKUP(A549,'Client Master Data'!A:G,4,FALSE)="High",30,IF(VLOOKUP(A549,'Client Master Data'!A:G,4,FALSE)="Medium",20,10))+IF(VLOOKUP(A549,'Client Master Data'!A:G,7,FALSE)="Yes",40,0)+IF(C549="Yes",10,0)</f>
        <v>20</v>
      </c>
      <c r="F549" t="str">
        <f t="shared" si="8"/>
        <v>Low</v>
      </c>
    </row>
    <row r="550" spans="1:6">
      <c r="A550">
        <v>1549</v>
      </c>
      <c r="B550" t="s">
        <v>1775</v>
      </c>
      <c r="C550" t="s">
        <v>20</v>
      </c>
      <c r="D550" t="s">
        <v>919</v>
      </c>
      <c r="E550">
        <f>IF(VLOOKUP(A550,'Client Master Data'!A:G,4,FALSE)="High",30,IF(VLOOKUP(A550,'Client Master Data'!A:G,4,FALSE)="Medium",20,10))+IF(VLOOKUP(A550,'Client Master Data'!A:G,7,FALSE)="Yes",40,0)+IF(C550="Yes",10,0)</f>
        <v>20</v>
      </c>
      <c r="F550" t="str">
        <f t="shared" si="8"/>
        <v>Low</v>
      </c>
    </row>
    <row r="551" spans="1:6">
      <c r="A551">
        <v>1550</v>
      </c>
      <c r="B551" t="s">
        <v>1777</v>
      </c>
      <c r="C551" t="s">
        <v>20</v>
      </c>
      <c r="D551" t="s">
        <v>876</v>
      </c>
      <c r="E551">
        <f>IF(VLOOKUP(A551,'Client Master Data'!A:G,4,FALSE)="High",30,IF(VLOOKUP(A551,'Client Master Data'!A:G,4,FALSE)="Medium",20,10))+IF(VLOOKUP(A551,'Client Master Data'!A:G,7,FALSE)="Yes",40,0)+IF(C551="Yes",10,0)</f>
        <v>20</v>
      </c>
      <c r="F551" t="str">
        <f t="shared" si="8"/>
        <v>Low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Client Master Data</vt:lpstr>
      <vt:lpstr>Transaction Data</vt:lpstr>
      <vt:lpstr>KYC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</cp:lastModifiedBy>
  <dcterms:created xsi:type="dcterms:W3CDTF">2026-05-29T14:40:00Z</dcterms:created>
  <dcterms:modified xsi:type="dcterms:W3CDTF">2026-06-06T07:06:31Z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1AEFE1BC36244D5D8FA55D165D00BF07_12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